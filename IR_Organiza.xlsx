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Aulas Santander\"/>
    </mc:Choice>
  </mc:AlternateContent>
  <xr:revisionPtr revIDLastSave="0" documentId="13_ncr:2001_{225CDA65-B07A-4744-AC5C-5C738E48E432}" xr6:coauthVersionLast="47" xr6:coauthVersionMax="47" xr10:uidLastSave="{00000000-0000-0000-0000-000000000000}"/>
  <bookViews>
    <workbookView xWindow="-110" yWindow="-110" windowWidth="19420" windowHeight="10300" tabRatio="0" xr2:uid="{57163484-8E5B-4030-BED2-518B128ABEF5}"/>
  </bookViews>
  <sheets>
    <sheet name="INÍCIO" sheetId="20" r:id="rId1"/>
    <sheet name="TITULAR" sheetId="1" r:id="rId2"/>
    <sheet name="BANCOS" sheetId="17" r:id="rId3"/>
    <sheet name="RENDIMENTOS" sheetId="21" r:id="rId4"/>
    <sheet name="PAGAMENTOS" sheetId="27" r:id="rId5"/>
    <sheet name="BENS E DIREITOS" sheetId="29" r:id="rId6"/>
    <sheet name="DOCUMENTOS" sheetId="30" r:id="rId7"/>
    <sheet name="RESUMO" sheetId="31" r:id="rId8"/>
    <sheet name="TABELA" sheetId="32" r:id="rId9"/>
  </sheets>
  <definedNames>
    <definedName name="ListaBancos">TABELA!$C$8:$C$57</definedName>
    <definedName name="ListaBens">TABELA!$G$8:$G$14</definedName>
    <definedName name="ListaContas">TABELA!$D$8:$D$16</definedName>
    <definedName name="ListaDespesas">TABELA!$F$8:$F$17</definedName>
    <definedName name="ListaDocumentos">TABELA!$H$8:$H$14</definedName>
    <definedName name="ListaRendimentos">TABELA!$E$8:$E$18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30" l="1"/>
  <c r="K4" i="30"/>
  <c r="K5" i="30"/>
  <c r="I17" i="29"/>
  <c r="P26" i="20"/>
  <c r="Q26" i="20" s="1"/>
  <c r="B48" i="20"/>
  <c r="B47" i="20"/>
  <c r="B46" i="20"/>
  <c r="B45" i="20"/>
  <c r="I20" i="21"/>
  <c r="I7" i="31" s="1"/>
  <c r="I2" i="31"/>
  <c r="J12" i="31" s="1"/>
  <c r="I3" i="31"/>
  <c r="J13" i="31" s="1"/>
  <c r="I4" i="31"/>
  <c r="I5" i="31"/>
  <c r="I6" i="31"/>
  <c r="J17" i="31"/>
  <c r="J18" i="31"/>
  <c r="L21" i="31"/>
  <c r="M21" i="31"/>
  <c r="L22" i="31"/>
  <c r="M22" i="31"/>
  <c r="L23" i="31"/>
  <c r="M23" i="31"/>
  <c r="L24" i="31"/>
  <c r="M24" i="31"/>
  <c r="L25" i="31"/>
  <c r="M25" i="31" s="1"/>
  <c r="H15" i="30"/>
  <c r="H16" i="30"/>
  <c r="H17" i="30"/>
  <c r="H18" i="30"/>
  <c r="H19" i="30"/>
  <c r="I5" i="30" s="1"/>
  <c r="H20" i="30"/>
  <c r="H21" i="30"/>
  <c r="H22" i="30"/>
  <c r="H23" i="30"/>
  <c r="H24" i="30"/>
  <c r="H25" i="30"/>
  <c r="H26" i="30"/>
  <c r="H27" i="30"/>
  <c r="H28" i="30"/>
  <c r="H29" i="30"/>
  <c r="H30" i="30"/>
  <c r="H31" i="30"/>
  <c r="H32" i="30"/>
  <c r="H33" i="30"/>
  <c r="H34" i="30"/>
  <c r="H35" i="30"/>
  <c r="H36" i="30"/>
  <c r="H37" i="30"/>
  <c r="H38" i="30"/>
  <c r="H39" i="30"/>
  <c r="H40" i="30"/>
  <c r="H41" i="30"/>
  <c r="H42" i="30"/>
  <c r="H43" i="30"/>
  <c r="H44" i="30"/>
  <c r="H45" i="30"/>
  <c r="H46" i="30"/>
  <c r="H47" i="30"/>
  <c r="H48" i="30"/>
  <c r="H49" i="30"/>
  <c r="H50" i="30"/>
  <c r="H51" i="30"/>
  <c r="H14" i="30"/>
  <c r="I4" i="30"/>
  <c r="I3" i="30"/>
  <c r="I14" i="29"/>
  <c r="I15" i="29"/>
  <c r="I16" i="29"/>
  <c r="I18" i="29"/>
  <c r="J5" i="29" s="1"/>
  <c r="I19" i="29"/>
  <c r="I20" i="29"/>
  <c r="I21" i="29"/>
  <c r="I22" i="29"/>
  <c r="I23" i="29"/>
  <c r="I24" i="29"/>
  <c r="I25" i="29"/>
  <c r="I26" i="29"/>
  <c r="I27" i="29"/>
  <c r="I28" i="29"/>
  <c r="I29" i="29"/>
  <c r="I30" i="29"/>
  <c r="I31" i="29"/>
  <c r="I32" i="29"/>
  <c r="I33" i="29"/>
  <c r="I34" i="29"/>
  <c r="I35" i="29"/>
  <c r="I36" i="29"/>
  <c r="I37" i="29"/>
  <c r="I38" i="29"/>
  <c r="I39" i="29"/>
  <c r="I40" i="29"/>
  <c r="I41" i="29"/>
  <c r="I42" i="29"/>
  <c r="I43" i="29"/>
  <c r="I44" i="29"/>
  <c r="I45" i="29"/>
  <c r="I46" i="29"/>
  <c r="I47" i="29"/>
  <c r="I48" i="29"/>
  <c r="I49" i="29"/>
  <c r="I50" i="29"/>
  <c r="J4" i="29"/>
  <c r="J3" i="29"/>
  <c r="I14" i="21"/>
  <c r="I50" i="27"/>
  <c r="I49" i="27"/>
  <c r="I48" i="27"/>
  <c r="I47" i="27"/>
  <c r="I46" i="27"/>
  <c r="I45" i="27"/>
  <c r="I44" i="27"/>
  <c r="I43" i="27"/>
  <c r="I42" i="27"/>
  <c r="I41" i="27"/>
  <c r="I40" i="27"/>
  <c r="I39" i="27"/>
  <c r="I38" i="27"/>
  <c r="I37" i="27"/>
  <c r="I36" i="27"/>
  <c r="I35" i="27"/>
  <c r="I34" i="27"/>
  <c r="I33" i="27"/>
  <c r="I32" i="27"/>
  <c r="I31" i="27"/>
  <c r="I30" i="27"/>
  <c r="I29" i="27"/>
  <c r="I28" i="27"/>
  <c r="I27" i="27"/>
  <c r="I26" i="27"/>
  <c r="I25" i="27"/>
  <c r="I24" i="27"/>
  <c r="I23" i="27"/>
  <c r="I22" i="27"/>
  <c r="I21" i="27"/>
  <c r="I20" i="27"/>
  <c r="I19" i="27"/>
  <c r="I18" i="27"/>
  <c r="I17" i="27"/>
  <c r="I16" i="27"/>
  <c r="I15" i="27"/>
  <c r="I14" i="27"/>
  <c r="J4" i="27"/>
  <c r="J3" i="27"/>
  <c r="J4" i="21"/>
  <c r="J3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21" i="21"/>
  <c r="I22" i="21"/>
  <c r="I23" i="21"/>
  <c r="I24" i="21"/>
  <c r="I25" i="21"/>
  <c r="I26" i="21"/>
  <c r="I27" i="21"/>
  <c r="I15" i="21"/>
  <c r="I16" i="21"/>
  <c r="I17" i="21"/>
  <c r="I18" i="21"/>
  <c r="I19" i="21"/>
  <c r="F7" i="17"/>
  <c r="D47" i="17"/>
  <c r="D34" i="17"/>
  <c r="D21" i="17"/>
  <c r="J5" i="27" l="1"/>
  <c r="J5" i="21" l="1"/>
</calcChain>
</file>

<file path=xl/sharedStrings.xml><?xml version="1.0" encoding="utf-8"?>
<sst xmlns="http://schemas.openxmlformats.org/spreadsheetml/2006/main" count="360" uniqueCount="248">
  <si>
    <t>CPF</t>
  </si>
  <si>
    <t>TÍTULO DE ELEITOR</t>
  </si>
  <si>
    <t>CEP</t>
  </si>
  <si>
    <t>TELEFONE</t>
  </si>
  <si>
    <t>CELULAR</t>
  </si>
  <si>
    <t>E-MAIL</t>
  </si>
  <si>
    <t>SIM</t>
  </si>
  <si>
    <t>NÃO</t>
  </si>
  <si>
    <t>TOTAL</t>
  </si>
  <si>
    <t>1º Banco</t>
  </si>
  <si>
    <t>BANCO</t>
  </si>
  <si>
    <t>336 - C6 Bank</t>
  </si>
  <si>
    <t>VALOR ATUAL</t>
  </si>
  <si>
    <t>33 - Banco Santander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</si>
  <si>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</si>
  <si>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</si>
  <si>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</si>
  <si>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</si>
  <si>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</si>
  <si>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</si>
  <si>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</si>
  <si>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</si>
  <si>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</si>
  <si>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</si>
  <si>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</si>
  <si>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</si>
  <si>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</si>
  <si>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</si>
  <si>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</si>
  <si>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</si>
  <si>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</si>
  <si>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</si>
  <si>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</si>
  <si>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</si>
  <si>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</si>
  <si>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</si>
  <si>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</si>
  <si>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</si>
  <si>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</si>
  <si>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</si>
  <si>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</si>
  <si>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</si>
  <si>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</si>
  <si>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</si>
  <si>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</si>
  <si>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</si>
  <si>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</si>
  <si>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</si>
  <si>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</si>
  <si>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</si>
  <si>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</si>
  <si>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</si>
  <si>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</si>
  <si>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</si>
  <si>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</si>
  <si>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</si>
  <si>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</si>
  <si>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</si>
  <si>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</si>
  <si>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</si>
  <si>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</si>
  <si>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</si>
  <si>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ENTRADAS</t>
  </si>
  <si>
    <t>DATA</t>
  </si>
  <si>
    <t>CATEGORIA</t>
  </si>
  <si>
    <t>VALOR</t>
  </si>
  <si>
    <t>ANO-CALENDÁRIO</t>
  </si>
  <si>
    <t>Progresso</t>
  </si>
  <si>
    <t>Restante</t>
  </si>
  <si>
    <t>LOGRADOURO</t>
  </si>
  <si>
    <t>NÚMERO</t>
  </si>
  <si>
    <t>NOME COMPLETO</t>
  </si>
  <si>
    <t>DATA DE NASCIMENTO</t>
  </si>
  <si>
    <t>ESTADO CIVIL</t>
  </si>
  <si>
    <t>1. DADOS PESSOAIS</t>
  </si>
  <si>
    <t>NOME DO CÔNJUGE</t>
  </si>
  <si>
    <t>COMPLEMENTO</t>
  </si>
  <si>
    <t>BAIRRO</t>
  </si>
  <si>
    <t>MUNICÍPIO</t>
  </si>
  <si>
    <t>UF</t>
  </si>
  <si>
    <t>DECLARAÇÃO ANTERIOR?</t>
  </si>
  <si>
    <t>HOUVE ALTERAÇÃO CADASTRAL?</t>
  </si>
  <si>
    <t>CÔNJUGE É DEPENDENTE?</t>
  </si>
  <si>
    <t>RESIDENTE NO EXTERIOR?</t>
  </si>
  <si>
    <t>POSSUI DEPENDENTES?</t>
  </si>
  <si>
    <t>VÍNCULO</t>
  </si>
  <si>
    <t>OBSERVAÇÕES</t>
  </si>
  <si>
    <t>Filho(a)</t>
  </si>
  <si>
    <t>LARISSA MONTEIRO ALBUQUERQUE</t>
  </si>
  <si>
    <t>Casado(a)</t>
  </si>
  <si>
    <t>RAFAELA DUARTE ALBUQUERQUE</t>
  </si>
  <si>
    <t>Rua das Acácias</t>
  </si>
  <si>
    <t>Apto 804, Bloco B</t>
  </si>
  <si>
    <t>Casa Forte</t>
  </si>
  <si>
    <t>Recife</t>
  </si>
  <si>
    <t>PE</t>
  </si>
  <si>
    <t>larissa@example.com</t>
  </si>
  <si>
    <t>HELENA MONTEIRO ALBUQUERQUE</t>
  </si>
  <si>
    <t>Nenhuma</t>
  </si>
  <si>
    <t>TIPO DE CONTA/APLICAÇÃO</t>
  </si>
  <si>
    <t>AGÊNCIA</t>
  </si>
  <si>
    <t>CONTA</t>
  </si>
  <si>
    <t>INFORME RECEBIDO?</t>
  </si>
  <si>
    <t>SITUAÇÃO</t>
  </si>
  <si>
    <t>COMPROVANTE 🖇️</t>
  </si>
  <si>
    <t>SALDO DO ANO ANTERIOR</t>
  </si>
  <si>
    <t>SALDO DO ANO-CALENDÁRIO</t>
  </si>
  <si>
    <t>Conta poupança</t>
  </si>
  <si>
    <t>Conta corrente</t>
  </si>
  <si>
    <t>informe_c6_2025.pdf</t>
  </si>
  <si>
    <t>Dados conferidos</t>
  </si>
  <si>
    <t>Aguardando informe bancário</t>
  </si>
  <si>
    <t>45678901-2</t>
  </si>
  <si>
    <t>2. CONTAS E INFORMES BANCÁRIOS</t>
  </si>
  <si>
    <t>3. CONTROLE DE RENDIMENTOS</t>
  </si>
  <si>
    <t>Registre e organize seus rendimentos para a declaração do Imposto de Renda.</t>
  </si>
  <si>
    <t>FONTE PAGADORA</t>
  </si>
  <si>
    <t>CPF/CNPJ</t>
  </si>
  <si>
    <t>TIPO DE RENDIMENTO</t>
  </si>
  <si>
    <t>VALOR RECEBIDO</t>
  </si>
  <si>
    <t>IMPOSTO RETIDO</t>
  </si>
  <si>
    <t>Horizonte Tecnologia Ltda.</t>
  </si>
  <si>
    <t>Salário</t>
  </si>
  <si>
    <t>Pessoa física fictícia</t>
  </si>
  <si>
    <t>Aluguel</t>
  </si>
  <si>
    <t>Cliente Exemplo Ltda.</t>
  </si>
  <si>
    <t>Trabalho autônomo</t>
  </si>
  <si>
    <t>Banco Exemplo</t>
  </si>
  <si>
    <t>Juros de aplicações</t>
  </si>
  <si>
    <t>Rendimentos de fundos</t>
  </si>
  <si>
    <t>13º salário</t>
  </si>
  <si>
    <t>4. CONTROLE DE PAGAMENTOS</t>
  </si>
  <si>
    <t>Organize suas despesas e reembolsos para a declaração do Imposto de Renda.</t>
  </si>
  <si>
    <t>SAÍDAS</t>
  </si>
  <si>
    <t>PRESTADOR / RECEBEDOR</t>
  </si>
  <si>
    <t>TIPO DE DESPESA</t>
  </si>
  <si>
    <t>VALOR PAGO</t>
  </si>
  <si>
    <t>VALOR REEMBOLSADO</t>
  </si>
  <si>
    <t>Exames</t>
  </si>
  <si>
    <t>Clínica Bem-Estar</t>
  </si>
  <si>
    <t>Consulta médica</t>
  </si>
  <si>
    <t>Laboratório Vida</t>
  </si>
  <si>
    <t>Odonto Saúde</t>
  </si>
  <si>
    <t>Dentista</t>
  </si>
  <si>
    <t>Instituto Aprender</t>
  </si>
  <si>
    <t>Educação</t>
  </si>
  <si>
    <t>Clínica Horizonte</t>
  </si>
  <si>
    <t>Psicoterapia</t>
  </si>
  <si>
    <t>Hospital Esperança</t>
  </si>
  <si>
    <t>Hospital</t>
  </si>
  <si>
    <t>Saúde Total</t>
  </si>
  <si>
    <t>Plano de saúde</t>
  </si>
  <si>
    <t>Previdência Exemplo</t>
  </si>
  <si>
    <t>Previdência privada</t>
  </si>
  <si>
    <t>TIPO DE BEM</t>
  </si>
  <si>
    <t>DESCRIÇÃO</t>
  </si>
  <si>
    <t>LOCALIZAÇÃO</t>
  </si>
  <si>
    <t>DATA DE AQUISIÇÃO</t>
  </si>
  <si>
    <t>VALOR ANTERIOR</t>
  </si>
  <si>
    <t>5. CONTROLE DE BENS E DIREITOS</t>
  </si>
  <si>
    <t>Organize seus bens, direitos e valores patrimoniais para a declaração do Imposto de Renda.</t>
  </si>
  <si>
    <t>PATRIMÔNIO</t>
  </si>
  <si>
    <t>Imóvel</t>
  </si>
  <si>
    <t>Apartamento residencial</t>
  </si>
  <si>
    <t>Recife - PE</t>
  </si>
  <si>
    <t>Veículo</t>
  </si>
  <si>
    <t>Automóvel de passeio</t>
  </si>
  <si>
    <t>Investimento</t>
  </si>
  <si>
    <t>Aplicação de renda fixa</t>
  </si>
  <si>
    <t>Participação societária</t>
  </si>
  <si>
    <t>Quotas de empresa fictícia</t>
  </si>
  <si>
    <t>Outros bens e direitos</t>
  </si>
  <si>
    <t>Equipamento de valor relevante</t>
  </si>
  <si>
    <t>DOCUMENTO</t>
  </si>
  <si>
    <t>RECEBIDO?</t>
  </si>
  <si>
    <t>LOCAL DO ARQUIVO</t>
  </si>
  <si>
    <t>6. CONTROLE DE DOCUMENTOS</t>
  </si>
  <si>
    <t>Organize os documentos e acompanhe as pendências da declaração do Imposto de Renda.</t>
  </si>
  <si>
    <t>Identificação</t>
  </si>
  <si>
    <t>Bancário</t>
  </si>
  <si>
    <t>Rendimentos</t>
  </si>
  <si>
    <t>Pagamentos</t>
  </si>
  <si>
    <t>Documento do imóvel</t>
  </si>
  <si>
    <t>Bens e direitos</t>
  </si>
  <si>
    <t>Documento do veículo</t>
  </si>
  <si>
    <t>Dependentes</t>
  </si>
  <si>
    <t>Documento pessoal</t>
  </si>
  <si>
    <t>Informe bancário</t>
  </si>
  <si>
    <t>Informe salarial</t>
  </si>
  <si>
    <t>Despesas médicas</t>
  </si>
  <si>
    <t>Despesas escolares</t>
  </si>
  <si>
    <t>Informe previdenciário</t>
  </si>
  <si>
    <t>Documento dependente</t>
  </si>
  <si>
    <t>Informe investimentos</t>
  </si>
  <si>
    <t>identidade.pdf</t>
  </si>
  <si>
    <t>banco.pdf</t>
  </si>
  <si>
    <t>salario.pdf</t>
  </si>
  <si>
    <t>saude.pdf</t>
  </si>
  <si>
    <t>imovel.pdf</t>
  </si>
  <si>
    <t>veiculo.pdf</t>
  </si>
  <si>
    <t>dependente.pdf</t>
  </si>
  <si>
    <t>investimentos.pdf</t>
  </si>
  <si>
    <t>7. RESUMO DA DECLARAÇÃO</t>
  </si>
  <si>
    <t>Visão consolidada dos valores, documentos e pendências</t>
  </si>
  <si>
    <t>QUANTIDADE</t>
  </si>
  <si>
    <t>Recebidos</t>
  </si>
  <si>
    <t>Pendentes</t>
  </si>
  <si>
    <t>ÁREA</t>
  </si>
  <si>
    <t>PENDÊNCIAS</t>
  </si>
  <si>
    <t>BANCOS</t>
  </si>
  <si>
    <t>RENDIMENTOS</t>
  </si>
  <si>
    <t>PAGAMENTOS</t>
  </si>
  <si>
    <t>BENS E DIREITOS</t>
  </si>
  <si>
    <t>DOCUMENTOS</t>
  </si>
  <si>
    <t>% CONCLUÍDO</t>
  </si>
  <si>
    <t>Outros</t>
  </si>
  <si>
    <t>Pensão alimentícia</t>
  </si>
  <si>
    <t>Dividendos</t>
  </si>
  <si>
    <t>Fundos de investimento</t>
  </si>
  <si>
    <t>Tesouro Direto</t>
  </si>
  <si>
    <t>Criptoativo</t>
  </si>
  <si>
    <t>Pró-labore</t>
  </si>
  <si>
    <t>LCI/LCA</t>
  </si>
  <si>
    <t>CDB</t>
  </si>
  <si>
    <t>Conta salário</t>
  </si>
  <si>
    <t>Conta bancária</t>
  </si>
  <si>
    <t>Pensão</t>
  </si>
  <si>
    <t>Conta de pagamento</t>
  </si>
  <si>
    <t>Aposentadoria</t>
  </si>
  <si>
    <t>CATEGORIAS DE DOCUMENTOS</t>
  </si>
  <si>
    <t>TIPOS DE BENS</t>
  </si>
  <si>
    <t>TIPOS DE DESPESA</t>
  </si>
  <si>
    <t>TIPOS DE RENDIMENTO</t>
  </si>
  <si>
    <t>TIPOS DE CONTA</t>
  </si>
  <si>
    <t>Listas de referência utilizadas nos cadastros e validações do IR Organiza.</t>
  </si>
  <si>
    <t>8. TABELAS AUXILIARES</t>
  </si>
  <si>
    <t>DOCUMENTAÇÃO</t>
  </si>
  <si>
    <t>ENDEREÇO</t>
  </si>
  <si>
    <t>CONTATO</t>
  </si>
  <si>
    <t>INFORMAÇÕES DA DECLARAÇÃO</t>
  </si>
  <si>
    <t>CADASTRO DE DEPENDENTES</t>
  </si>
  <si>
    <t>Cadastre os dados do titular e dos dependentes para organizar sua declaração.</t>
  </si>
  <si>
    <t>Registre suas contas bancárias, saldos e informes de rendimentos.</t>
  </si>
  <si>
    <t>Desenvolvido por Camila Ribeiro Pinto</t>
  </si>
  <si>
    <t>LinkedIn</t>
  </si>
  <si>
    <t>|</t>
  </si>
  <si>
    <t>IR Organiza • Projeto de portfólio</t>
  </si>
  <si>
    <t xml:space="preserve">  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</si>
</sst>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0000"/>
    <numFmt numFmtId="170" formatCode="00000000\-0"/>
    <numFmt numFmtId="171" formatCode="d/m/yyyy;@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Segoe UI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Segoe UI Light"/>
      <family val="2"/>
    </font>
    <font>
      <sz val="8"/>
      <color theme="2" tint="-0.499984740745262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17324D"/>
      <name val="Aptos Narrow"/>
      <family val="2"/>
      <scheme val="minor"/>
    </font>
    <font>
      <sz val="11"/>
      <color rgb="FF168C83"/>
      <name val="Aptos Narrow"/>
      <family val="2"/>
      <scheme val="minor"/>
    </font>
    <font>
      <b/>
      <sz val="20"/>
      <color rgb="FF168C83"/>
      <name val="Aptos Display"/>
      <family val="2"/>
      <scheme val="major"/>
    </font>
    <font>
      <b/>
      <sz val="11"/>
      <color rgb="FF17324D"/>
      <name val="Aptos Display"/>
      <family val="2"/>
      <scheme val="major"/>
    </font>
    <font>
      <b/>
      <sz val="14"/>
      <color rgb="FF17324D"/>
      <name val="Aptos Narrow"/>
      <family val="2"/>
      <scheme val="minor"/>
    </font>
    <font>
      <sz val="11"/>
      <color rgb="FFDFE7EA"/>
      <name val="Aptos Narrow"/>
      <family val="2"/>
      <scheme val="minor"/>
    </font>
    <font>
      <b/>
      <sz val="18"/>
      <color rgb="FF168C83"/>
      <name val="Aptos Display"/>
      <family val="2"/>
      <scheme val="major"/>
    </font>
    <font>
      <b/>
      <sz val="15"/>
      <color theme="0"/>
      <name val="Aptos Narrow"/>
      <family val="2"/>
      <scheme val="minor"/>
    </font>
    <font>
      <sz val="11"/>
      <color rgb="FF17324D"/>
      <name val="Segoe UI Light"/>
      <family val="2"/>
    </font>
    <font>
      <b/>
      <sz val="20"/>
      <color theme="0"/>
      <name val="Aptos Narrow"/>
      <family val="2"/>
      <scheme val="minor"/>
    </font>
    <font>
      <i/>
      <sz val="11"/>
      <color rgb="FF64748B"/>
      <name val="Aptos Narrow"/>
      <family val="2"/>
      <scheme val="minor"/>
    </font>
    <font>
      <b/>
      <sz val="10"/>
      <color theme="1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sz val="11"/>
      <name val="Aptos Narrow"/>
      <family val="2"/>
      <scheme val="minor"/>
    </font>
    <font>
      <sz val="10"/>
      <color theme="0"/>
      <name val="Arial Unicode MS"/>
      <family val="2"/>
    </font>
    <font>
      <b/>
      <sz val="11"/>
      <color theme="0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17324D"/>
        <bgColor indexed="64"/>
      </patternFill>
    </fill>
    <fill>
      <patternFill patternType="solid">
        <fgColor rgb="FFF3F7F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96">
    <xf numFmtId="0" fontId="0" fillId="0" borderId="0" xfId="0"/>
    <xf numFmtId="168" fontId="19" fillId="0" borderId="0" xfId="3" applyNumberFormat="1" applyFont="1" applyFill="1" applyAlignment="1" applyProtection="1">
      <alignment horizontal="center"/>
      <protection hidden="1"/>
    </xf>
    <xf numFmtId="0" fontId="19" fillId="0" borderId="0" xfId="3" applyFont="1" applyFill="1" applyAlignment="1" applyProtection="1">
      <alignment horizontal="center"/>
      <protection hidden="1"/>
    </xf>
    <xf numFmtId="0" fontId="23" fillId="5" borderId="0" xfId="0" applyFont="1" applyFill="1"/>
    <xf numFmtId="0" fontId="0" fillId="3" borderId="0" xfId="0" applyFill="1" applyProtection="1">
      <protection hidden="1"/>
    </xf>
    <xf numFmtId="0" fontId="0" fillId="0" borderId="0" xfId="0" applyProtection="1">
      <protection hidden="1"/>
    </xf>
    <xf numFmtId="0" fontId="17" fillId="3" borderId="0" xfId="2" applyFont="1" applyFill="1" applyBorder="1" applyProtection="1">
      <protection hidden="1"/>
    </xf>
    <xf numFmtId="0" fontId="7" fillId="0" borderId="0" xfId="0" applyFont="1" applyProtection="1">
      <protection hidden="1"/>
    </xf>
    <xf numFmtId="0" fontId="8" fillId="0" borderId="0" xfId="0" applyFont="1" applyProtection="1">
      <protection hidden="1"/>
    </xf>
    <xf numFmtId="0" fontId="18" fillId="4" borderId="3" xfId="0" applyFont="1" applyFill="1" applyBorder="1" applyAlignment="1" applyProtection="1">
      <alignment horizontal="right"/>
      <protection hidden="1"/>
    </xf>
    <xf numFmtId="0" fontId="10" fillId="0" borderId="3" xfId="3" applyFont="1" applyFill="1" applyBorder="1" applyAlignment="1" applyProtection="1">
      <alignment horizontal="left"/>
      <protection hidden="1"/>
    </xf>
    <xf numFmtId="0" fontId="13" fillId="0" borderId="0" xfId="0" applyFont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4" fillId="0" borderId="0" xfId="0" applyFont="1" applyProtection="1">
      <protection hidden="1"/>
    </xf>
    <xf numFmtId="9" fontId="0" fillId="0" borderId="0" xfId="0" applyNumberFormat="1" applyProtection="1">
      <protection hidden="1"/>
    </xf>
    <xf numFmtId="0" fontId="11" fillId="0" borderId="0" xfId="0" applyFont="1" applyProtection="1">
      <protection hidden="1"/>
    </xf>
    <xf numFmtId="0" fontId="15" fillId="0" borderId="0" xfId="0" applyFont="1" applyProtection="1">
      <protection hidden="1"/>
    </xf>
    <xf numFmtId="9" fontId="16" fillId="0" borderId="0" xfId="0" applyNumberFormat="1" applyFont="1" applyProtection="1">
      <protection hidden="1"/>
    </xf>
    <xf numFmtId="0" fontId="18" fillId="4" borderId="2" xfId="0" applyFont="1" applyFill="1" applyBorder="1" applyAlignment="1" applyProtection="1">
      <alignment horizontal="right"/>
      <protection hidden="1"/>
    </xf>
    <xf numFmtId="0" fontId="18" fillId="0" borderId="2" xfId="0" applyFont="1" applyBorder="1" applyAlignment="1" applyProtection="1">
      <alignment horizontal="right"/>
      <protection hidden="1"/>
    </xf>
    <xf numFmtId="166" fontId="10" fillId="0" borderId="2" xfId="3" applyNumberFormat="1" applyFont="1" applyFill="1" applyBorder="1" applyAlignment="1" applyProtection="1">
      <alignment horizontal="left"/>
      <protection hidden="1"/>
    </xf>
    <xf numFmtId="0" fontId="17" fillId="0" borderId="0" xfId="2" applyFont="1" applyFill="1" applyBorder="1" applyProtection="1">
      <protection hidden="1"/>
    </xf>
    <xf numFmtId="0" fontId="10" fillId="4" borderId="3" xfId="3" applyFont="1" applyFill="1" applyBorder="1" applyAlignment="1" applyProtection="1">
      <alignment horizontal="left"/>
      <protection locked="0" hidden="1"/>
    </xf>
    <xf numFmtId="164" fontId="10" fillId="4" borderId="2" xfId="3" applyNumberFormat="1" applyFont="1" applyFill="1" applyBorder="1" applyAlignment="1" applyProtection="1">
      <alignment horizontal="left"/>
      <protection locked="0" hidden="1"/>
    </xf>
    <xf numFmtId="14" fontId="10" fillId="4" borderId="2" xfId="3" applyNumberFormat="1" applyFont="1" applyFill="1" applyBorder="1" applyAlignment="1" applyProtection="1">
      <alignment horizontal="left"/>
      <protection locked="0" hidden="1"/>
    </xf>
    <xf numFmtId="0" fontId="10" fillId="4" borderId="2" xfId="3" applyFont="1" applyFill="1" applyBorder="1" applyAlignment="1" applyProtection="1">
      <alignment horizontal="left"/>
      <protection locked="0" hidden="1"/>
    </xf>
    <xf numFmtId="1" fontId="10" fillId="4" borderId="2" xfId="3" applyNumberFormat="1" applyFont="1" applyFill="1" applyBorder="1" applyAlignment="1" applyProtection="1">
      <alignment horizontal="left"/>
      <protection locked="0" hidden="1"/>
    </xf>
    <xf numFmtId="0" fontId="10" fillId="4" borderId="2" xfId="3" applyNumberFormat="1" applyFont="1" applyFill="1" applyBorder="1" applyAlignment="1" applyProtection="1">
      <alignment horizontal="left"/>
      <protection locked="0" hidden="1"/>
    </xf>
    <xf numFmtId="165" fontId="10" fillId="4" borderId="2" xfId="3" applyNumberFormat="1" applyFont="1" applyFill="1" applyBorder="1" applyAlignment="1" applyProtection="1">
      <alignment horizontal="left"/>
      <protection locked="0" hidden="1"/>
    </xf>
    <xf numFmtId="166" fontId="10" fillId="4" borderId="2" xfId="3" applyNumberFormat="1" applyFont="1" applyFill="1" applyBorder="1" applyAlignment="1" applyProtection="1">
      <alignment horizontal="left"/>
      <protection locked="0" hidden="1"/>
    </xf>
    <xf numFmtId="167" fontId="10" fillId="4" borderId="2" xfId="3" applyNumberFormat="1" applyFont="1" applyFill="1" applyBorder="1" applyAlignment="1" applyProtection="1">
      <alignment horizontal="left"/>
      <protection locked="0" hidden="1"/>
    </xf>
    <xf numFmtId="0" fontId="6" fillId="4" borderId="2" xfId="4" applyFill="1" applyBorder="1" applyAlignment="1" applyProtection="1">
      <alignment horizontal="left"/>
      <protection locked="0" hidden="1"/>
    </xf>
    <xf numFmtId="169" fontId="10" fillId="4" borderId="3" xfId="3" applyNumberFormat="1" applyFont="1" applyFill="1" applyBorder="1" applyAlignment="1" applyProtection="1">
      <alignment horizontal="left"/>
      <protection locked="0" hidden="1"/>
    </xf>
    <xf numFmtId="170" fontId="10" fillId="4" borderId="3" xfId="3" applyNumberFormat="1" applyFont="1" applyFill="1" applyBorder="1" applyAlignment="1" applyProtection="1">
      <alignment horizontal="left"/>
      <protection locked="0" hidden="1"/>
    </xf>
    <xf numFmtId="8" fontId="10" fillId="4" borderId="3" xfId="1" applyNumberFormat="1" applyFont="1" applyFill="1" applyBorder="1" applyAlignment="1" applyProtection="1">
      <alignment horizontal="left"/>
      <protection locked="0" hidden="1"/>
    </xf>
    <xf numFmtId="0" fontId="0" fillId="5" borderId="0" xfId="0" applyFill="1" applyProtection="1">
      <protection hidden="1"/>
    </xf>
    <xf numFmtId="168" fontId="4" fillId="0" borderId="0" xfId="1" applyNumberFormat="1" applyFont="1" applyProtection="1">
      <protection hidden="1"/>
    </xf>
    <xf numFmtId="168" fontId="4" fillId="5" borderId="0" xfId="1" applyNumberFormat="1" applyFont="1" applyFill="1" applyProtection="1">
      <protection hidden="1"/>
    </xf>
    <xf numFmtId="0" fontId="20" fillId="4" borderId="0" xfId="0" applyFont="1" applyFill="1" applyAlignment="1" applyProtection="1">
      <alignment vertical="center"/>
      <protection hidden="1"/>
    </xf>
    <xf numFmtId="1" fontId="4" fillId="0" borderId="0" xfId="0" applyNumberFormat="1" applyFont="1" applyProtection="1">
      <protection hidden="1"/>
    </xf>
    <xf numFmtId="0" fontId="4" fillId="5" borderId="0" xfId="0" applyFont="1" applyFill="1" applyProtection="1">
      <protection hidden="1"/>
    </xf>
    <xf numFmtId="0" fontId="0" fillId="3" borderId="0" xfId="0" applyFill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22" fillId="3" borderId="0" xfId="0" applyFont="1" applyFill="1" applyAlignment="1" applyProtection="1">
      <alignment horizontal="center" vertical="center"/>
      <protection hidden="1"/>
    </xf>
    <xf numFmtId="0" fontId="0" fillId="5" borderId="0" xfId="0" applyFill="1" applyAlignment="1" applyProtection="1">
      <alignment vertical="center"/>
      <protection hidden="1"/>
    </xf>
    <xf numFmtId="0" fontId="21" fillId="0" borderId="0" xfId="0" applyFont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9" fillId="0" borderId="0" xfId="0" applyFont="1" applyAlignment="1" applyProtection="1">
      <alignment vertical="center" wrapText="1"/>
      <protection hidden="1"/>
    </xf>
    <xf numFmtId="14" fontId="5" fillId="0" borderId="0" xfId="0" applyNumberFormat="1" applyFont="1" applyAlignment="1" applyProtection="1">
      <alignment horizontal="center" vertical="center" wrapText="1"/>
      <protection locked="0" hidden="1"/>
    </xf>
    <xf numFmtId="0" fontId="5" fillId="0" borderId="0" xfId="0" applyFont="1" applyAlignment="1" applyProtection="1">
      <alignment horizontal="left" vertical="center" wrapText="1"/>
      <protection locked="0" hidden="1"/>
    </xf>
    <xf numFmtId="164" fontId="5" fillId="0" borderId="0" xfId="0" applyNumberFormat="1" applyFont="1" applyAlignment="1" applyProtection="1">
      <alignment horizontal="left" vertical="center" wrapText="1"/>
      <protection locked="0" hidden="1"/>
    </xf>
    <xf numFmtId="0" fontId="5" fillId="0" borderId="0" xfId="0" applyFont="1" applyAlignment="1" applyProtection="1">
      <alignment horizontal="center" vertical="center" wrapText="1"/>
      <protection locked="0" hidden="1"/>
    </xf>
    <xf numFmtId="168" fontId="5" fillId="0" borderId="0" xfId="1" applyNumberFormat="1" applyFont="1" applyAlignment="1" applyProtection="1">
      <alignment horizontal="left" vertical="center" wrapText="1"/>
      <protection locked="0" hidden="1"/>
    </xf>
    <xf numFmtId="168" fontId="5" fillId="0" borderId="0" xfId="0" applyNumberFormat="1" applyFont="1" applyAlignment="1" applyProtection="1">
      <alignment horizontal="center" vertical="center" wrapText="1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164" fontId="5" fillId="0" borderId="0" xfId="0" applyNumberFormat="1" applyFont="1" applyAlignment="1" applyProtection="1">
      <alignment horizontal="center" vertical="center" wrapText="1"/>
      <protection locked="0" hidden="1"/>
    </xf>
    <xf numFmtId="168" fontId="5" fillId="0" borderId="0" xfId="0" applyNumberFormat="1" applyFont="1" applyAlignment="1" applyProtection="1">
      <alignment horizontal="left" vertical="center" wrapText="1"/>
      <protection locked="0" hidden="1"/>
    </xf>
    <xf numFmtId="168" fontId="5" fillId="0" borderId="0" xfId="1" applyNumberFormat="1" applyFont="1" applyAlignment="1" applyProtection="1">
      <alignment horizontal="center" vertical="center" wrapText="1"/>
      <protection locked="0" hidden="1"/>
    </xf>
    <xf numFmtId="168" fontId="4" fillId="0" borderId="0" xfId="1" applyNumberFormat="1" applyFont="1" applyFill="1" applyProtection="1">
      <protection hidden="1"/>
    </xf>
    <xf numFmtId="0" fontId="9" fillId="0" borderId="0" xfId="0" applyFont="1" applyAlignment="1" applyProtection="1">
      <alignment horizontal="center" vertical="center" wrapText="1"/>
      <protection hidden="1"/>
    </xf>
    <xf numFmtId="168" fontId="0" fillId="0" borderId="0" xfId="0" applyNumberFormat="1" applyProtection="1">
      <protection hidden="1"/>
    </xf>
    <xf numFmtId="171" fontId="5" fillId="0" borderId="0" xfId="0" applyNumberFormat="1" applyFont="1" applyAlignment="1" applyProtection="1">
      <alignment horizontal="center" vertical="center" wrapText="1"/>
      <protection locked="0" hidden="1"/>
    </xf>
    <xf numFmtId="1" fontId="4" fillId="5" borderId="0" xfId="0" applyNumberFormat="1" applyFont="1" applyFill="1" applyProtection="1">
      <protection hidden="1"/>
    </xf>
    <xf numFmtId="14" fontId="5" fillId="0" borderId="0" xfId="0" applyNumberFormat="1" applyFont="1" applyAlignment="1" applyProtection="1">
      <alignment horizontal="left" vertical="center" wrapText="1"/>
      <protection locked="0" hidden="1"/>
    </xf>
    <xf numFmtId="168" fontId="5" fillId="0" borderId="0" xfId="1" applyNumberFormat="1" applyFont="1" applyAlignment="1" applyProtection="1">
      <alignment vertical="center" wrapText="1"/>
      <protection locked="0" hidden="1"/>
    </xf>
    <xf numFmtId="0" fontId="5" fillId="0" borderId="0" xfId="0" applyFont="1" applyAlignment="1" applyProtection="1">
      <alignment vertical="center" wrapText="1"/>
      <protection locked="0" hidden="1"/>
    </xf>
    <xf numFmtId="0" fontId="4" fillId="0" borderId="0" xfId="0" applyFont="1" applyProtection="1">
      <protection hidden="1"/>
    </xf>
    <xf numFmtId="0" fontId="4" fillId="0" borderId="0" xfId="0" applyFont="1" applyFill="1" applyProtection="1">
      <protection hidden="1"/>
    </xf>
    <xf numFmtId="0" fontId="0" fillId="0" borderId="0" xfId="0" applyFill="1" applyProtection="1">
      <protection hidden="1"/>
    </xf>
    <xf numFmtId="168" fontId="4" fillId="0" borderId="0" xfId="0" applyNumberFormat="1" applyFont="1" applyAlignment="1" applyProtection="1">
      <alignment horizontal="right"/>
      <protection hidden="1"/>
    </xf>
    <xf numFmtId="0" fontId="4" fillId="0" borderId="0" xfId="0" applyFont="1" applyAlignment="1" applyProtection="1">
      <alignment horizontal="right"/>
      <protection hidden="1"/>
    </xf>
    <xf numFmtId="168" fontId="24" fillId="0" borderId="0" xfId="0" applyNumberFormat="1" applyFont="1" applyFill="1" applyProtection="1">
      <protection hidden="1"/>
    </xf>
    <xf numFmtId="0" fontId="4" fillId="0" borderId="0" xfId="0" applyFont="1" applyFill="1" applyAlignment="1" applyProtection="1">
      <alignment vertical="center"/>
      <protection hidden="1"/>
    </xf>
    <xf numFmtId="0" fontId="0" fillId="0" borderId="0" xfId="0" applyFill="1" applyAlignment="1" applyProtection="1">
      <alignment vertical="center"/>
      <protection hidden="1"/>
    </xf>
    <xf numFmtId="0" fontId="25" fillId="0" borderId="0" xfId="0" applyFont="1" applyFill="1" applyAlignment="1" applyProtection="1">
      <alignment horizontal="center" vertical="center" wrapText="1"/>
      <protection hidden="1"/>
    </xf>
    <xf numFmtId="0" fontId="4" fillId="0" borderId="0" xfId="0" applyFont="1" applyFill="1" applyAlignment="1" applyProtection="1">
      <alignment vertical="center" wrapText="1"/>
      <protection hidden="1"/>
    </xf>
    <xf numFmtId="9" fontId="4" fillId="0" borderId="0" xfId="0" applyNumberFormat="1" applyFont="1" applyFill="1" applyAlignment="1" applyProtection="1">
      <alignment vertical="center" wrapText="1"/>
      <protection hidden="1"/>
    </xf>
    <xf numFmtId="9" fontId="4" fillId="0" borderId="0" xfId="0" applyNumberFormat="1" applyFont="1" applyFill="1" applyProtection="1">
      <protection hidden="1"/>
    </xf>
    <xf numFmtId="0" fontId="26" fillId="3" borderId="0" xfId="0" applyFont="1" applyFill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left" vertical="center" wrapText="1"/>
      <protection hidden="1"/>
    </xf>
    <xf numFmtId="0" fontId="17" fillId="0" borderId="0" xfId="2" applyFont="1" applyFill="1" applyBorder="1" applyAlignment="1" applyProtection="1">
      <alignment horizontal="left" vertical="center" wrapText="1"/>
      <protection hidden="1"/>
    </xf>
    <xf numFmtId="168" fontId="4" fillId="5" borderId="0" xfId="0" applyNumberFormat="1" applyFont="1" applyFill="1" applyProtection="1">
      <protection hidden="1"/>
    </xf>
    <xf numFmtId="0" fontId="23" fillId="5" borderId="0" xfId="0" applyFont="1" applyFill="1" applyProtection="1">
      <protection hidden="1"/>
    </xf>
    <xf numFmtId="0" fontId="23" fillId="5" borderId="0" xfId="0" applyFont="1" applyFill="1" applyAlignment="1">
      <alignment horizontal="left"/>
    </xf>
    <xf numFmtId="0" fontId="23" fillId="5" borderId="0" xfId="0" applyFont="1" applyFill="1" applyAlignment="1">
      <alignment horizontal="center"/>
    </xf>
    <xf numFmtId="0" fontId="23" fillId="5" borderId="0" xfId="0" applyFont="1" applyFill="1" applyAlignment="1">
      <alignment horizontal="right"/>
    </xf>
    <xf numFmtId="0" fontId="23" fillId="5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 applyProtection="1">
      <alignment horizontal="center" vertical="center" wrapText="1"/>
      <protection hidden="1"/>
    </xf>
    <xf numFmtId="168" fontId="23" fillId="5" borderId="0" xfId="1" applyNumberFormat="1" applyFont="1" applyFill="1" applyProtection="1">
      <protection hidden="1"/>
    </xf>
    <xf numFmtId="0" fontId="23" fillId="0" borderId="0" xfId="0" applyFont="1" applyProtection="1">
      <protection hidden="1"/>
    </xf>
    <xf numFmtId="0" fontId="23" fillId="5" borderId="0" xfId="0" applyFont="1" applyFill="1" applyAlignment="1" applyProtection="1">
      <alignment vertical="center"/>
      <protection hidden="1"/>
    </xf>
    <xf numFmtId="0" fontId="23" fillId="0" borderId="0" xfId="0" applyFont="1" applyAlignment="1" applyProtection="1">
      <alignment vertical="center"/>
      <protection hidden="1"/>
    </xf>
    <xf numFmtId="0" fontId="23" fillId="0" borderId="0" xfId="0" applyFont="1" applyFill="1" applyProtection="1">
      <protection hidden="1"/>
    </xf>
    <xf numFmtId="168" fontId="23" fillId="0" borderId="0" xfId="1" applyNumberFormat="1" applyFont="1" applyFill="1" applyProtection="1">
      <protection hidden="1"/>
    </xf>
    <xf numFmtId="0" fontId="23" fillId="0" borderId="0" xfId="0" applyFont="1" applyFill="1" applyAlignment="1" applyProtection="1">
      <alignment vertical="center"/>
      <protection hidden="1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61">
    <dxf>
      <font>
        <color rgb="FF168C83"/>
      </font>
      <fill>
        <patternFill>
          <bgColor rgb="FFE0F2ED"/>
        </patternFill>
      </fill>
    </dxf>
    <dxf>
      <font>
        <color rgb="FFB42318"/>
      </font>
      <fill>
        <patternFill>
          <bgColor rgb="FFFDE8E8"/>
        </patternFill>
      </fill>
    </dxf>
    <dxf>
      <font>
        <color rgb="FFD97706"/>
      </font>
      <fill>
        <patternFill>
          <bgColor rgb="FFFFF0D9"/>
        </patternFill>
      </fill>
    </dxf>
    <dxf>
      <font>
        <color rgb="FF168C83"/>
      </font>
      <fill>
        <patternFill>
          <bgColor rgb="FFE0F2ED"/>
        </patternFill>
      </fill>
    </dxf>
    <dxf>
      <font>
        <color rgb="FFB42318"/>
      </font>
      <fill>
        <patternFill>
          <bgColor rgb="FFFDE8E8"/>
        </patternFill>
      </fill>
    </dxf>
    <dxf>
      <font>
        <color rgb="FFD97706"/>
      </font>
      <fill>
        <patternFill>
          <bgColor rgb="FFFFF0D9"/>
        </patternFill>
      </fill>
    </dxf>
    <dxf>
      <font>
        <color rgb="FF168C83"/>
      </font>
      <fill>
        <patternFill>
          <bgColor rgb="FFE0F2ED"/>
        </patternFill>
      </fill>
    </dxf>
    <dxf>
      <font>
        <color rgb="FFB42318"/>
      </font>
      <fill>
        <patternFill>
          <bgColor rgb="FFFDE8E8"/>
        </patternFill>
      </fill>
    </dxf>
    <dxf>
      <font>
        <color rgb="FFD97706"/>
      </font>
      <fill>
        <patternFill>
          <bgColor rgb="FFFFF0D9"/>
        </patternFill>
      </fill>
    </dxf>
    <dxf>
      <font>
        <color rgb="FF168C83"/>
      </font>
      <fill>
        <patternFill>
          <bgColor rgb="FFE0F2ED"/>
        </patternFill>
      </fill>
    </dxf>
    <dxf>
      <font>
        <color rgb="FFB42318"/>
      </font>
      <fill>
        <patternFill>
          <bgColor rgb="FFFDE8E8"/>
        </patternFill>
      </fill>
    </dxf>
    <dxf>
      <font>
        <color rgb="FFD97706"/>
      </font>
      <fill>
        <patternFill>
          <bgColor rgb="FFFFF0D9"/>
        </patternFill>
      </fill>
    </dxf>
    <dxf>
      <font>
        <b/>
        <i val="0"/>
        <color rgb="FF168C83"/>
      </font>
      <fill>
        <patternFill>
          <bgColor rgb="FFE0F2ED"/>
        </patternFill>
      </fill>
    </dxf>
    <dxf>
      <font>
        <b/>
        <i val="0"/>
        <color rgb="FFB42318"/>
      </font>
      <fill>
        <patternFill>
          <fgColor rgb="FFFDE8E8"/>
          <bgColor rgb="FFFDE8E8"/>
        </patternFill>
      </fill>
    </dxf>
    <dxf>
      <font>
        <b/>
        <i val="0"/>
        <color rgb="FFD97706"/>
      </font>
      <fill>
        <patternFill patternType="solid">
          <fgColor rgb="FFFFF0D9"/>
          <bgColor rgb="FFFFF0D9"/>
        </patternFill>
      </fill>
    </dxf>
    <dxf>
      <font>
        <b/>
        <i val="0"/>
        <color rgb="FF168C83"/>
      </font>
      <fill>
        <patternFill>
          <bgColor rgb="FFE0F2ED"/>
        </patternFill>
      </fill>
    </dxf>
    <dxf>
      <font>
        <b/>
        <i val="0"/>
        <color rgb="FFB42318"/>
      </font>
      <fill>
        <patternFill>
          <fgColor rgb="FFFDE8E8"/>
          <bgColor rgb="FFFDE8E8"/>
        </patternFill>
      </fill>
    </dxf>
    <dxf>
      <font>
        <b/>
        <i val="0"/>
        <color rgb="FFD97706"/>
      </font>
      <fill>
        <patternFill patternType="solid">
          <fgColor rgb="FFFFF0D9"/>
          <bgColor rgb="FFFFF0D9"/>
        </patternFill>
      </fill>
    </dxf>
    <dxf>
      <font>
        <b/>
        <i val="0"/>
        <color rgb="FF168C83"/>
      </font>
      <fill>
        <patternFill>
          <bgColor rgb="FFE0F2ED"/>
        </patternFill>
      </fill>
    </dxf>
    <dxf>
      <font>
        <b/>
        <i val="0"/>
        <color rgb="FFB42318"/>
      </font>
      <fill>
        <patternFill>
          <fgColor rgb="FFFDE8E8"/>
          <bgColor rgb="FFFDE8E8"/>
        </patternFill>
      </fill>
    </dxf>
    <dxf>
      <font>
        <b/>
        <i val="0"/>
        <color rgb="FFD97706"/>
      </font>
      <fill>
        <patternFill patternType="solid">
          <fgColor rgb="FFFFF0D9"/>
          <bgColor rgb="FFFFF0D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1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protection locked="0" hidden="1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71" formatCode="d/m/yyyy;@"/>
      <alignment horizontal="center" vertical="center" textRotation="0" wrapText="1" indent="0" justifyLastLine="0" shrinkToFit="0" readingOrder="0"/>
      <protection locked="0" hidden="1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8" formatCode="&quot;R$&quot;\ #,##0.00"/>
      <alignment horizontal="center" vertical="center" textRotation="0" wrapText="1" indent="0" justifyLastLine="0" shrinkToFit="0" readingOrder="0"/>
      <protection locked="0" hidden="1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left" vertical="center" textRotation="0" wrapText="1" indent="0" justifyLastLine="0" shrinkToFit="0" readingOrder="0"/>
      <protection locked="0" hidden="1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protection locked="0" hidden="1"/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center" vertical="center" textRotation="0" wrapText="1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0" formatCode="General"/>
      <alignment horizontal="left" vertical="center" textRotation="0" wrapText="1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8" formatCode="&quot;R$&quot;\ #,##0.00"/>
      <alignment horizontal="left" vertical="center" textRotation="0" wrapText="1" indent="0" justifyLastLine="0" shrinkToFit="0" readingOrder="0"/>
      <protection locked="0" hidden="1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protection locked="0" hidden="1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71" formatCode="d/m/yyyy;@"/>
      <alignment horizontal="center" vertical="center" textRotation="0" wrapText="1" indent="0" justifyLastLine="0" shrinkToFit="0" readingOrder="0"/>
      <protection locked="0" hidden="1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8" formatCode="&quot;R$&quot;\ #,##0.00"/>
      <alignment horizontal="center" vertical="center" textRotation="0" wrapText="1" indent="0" justifyLastLine="0" shrinkToFit="0" readingOrder="0"/>
      <protection locked="0" hidden="1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left" vertical="center" textRotation="0" wrapText="1" indent="0" justifyLastLine="0" shrinkToFit="0" readingOrder="0"/>
      <protection locked="0" hidden="1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protection locked="0" hidden="1"/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center" vertical="center" textRotation="0" wrapText="1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8" formatCode="&quot;R$&quot;\ #,##0.00"/>
      <alignment horizontal="center" vertical="center" textRotation="0" wrapText="1" indent="0" justifyLastLine="0" shrinkToFit="0" readingOrder="0"/>
      <protection locked="0" hidden="1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protection locked="0" hidden="1"/>
    </dxf>
    <dxf>
      <alignment horizontal="center" vertical="center" textRotation="0" indent="0" justifyLastLine="0" shrinkToFit="0" readingOrder="0"/>
      <protection locked="0" hidden="1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8" formatCode="&quot;R$&quot;\ #,##0.00"/>
      <alignment horizontal="center" vertical="center" textRotation="0" wrapText="1" indent="0" justifyLastLine="0" shrinkToFit="0" readingOrder="0"/>
      <protection locked="0" hidden="1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protection locked="0" hidden="1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protection locked="0" hidden="1"/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center" vertical="center" textRotation="0" wrapText="1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8" formatCode="&quot;R$&quot;\ #,##0.00"/>
      <alignment horizontal="left" vertical="center" textRotation="0" wrapText="1" indent="0" justifyLastLine="0" shrinkToFit="0" readingOrder="0"/>
      <protection locked="0" hidden="1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protection locked="0" hidden="1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protection locked="0" hidden="1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8" formatCode="&quot;R$&quot;\ #,##0.00"/>
      <alignment horizontal="center" vertical="center" textRotation="0" wrapText="1" indent="0" justifyLastLine="0" shrinkToFit="0" readingOrder="0"/>
      <protection locked="0" hidden="1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left" vertical="center" textRotation="0" wrapText="1" indent="0" justifyLastLine="0" shrinkToFit="0" readingOrder="0"/>
      <protection locked="0" hidden="1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protection locked="0" hidden="1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1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protection locked="1" hidden="1"/>
    </dxf>
    <dxf>
      <font>
        <color rgb="FF17324D"/>
      </font>
      <fill>
        <patternFill>
          <bgColor rgb="FFFFFFFF"/>
        </patternFill>
      </fill>
    </dxf>
    <dxf>
      <font>
        <color rgb="FF17324D"/>
      </font>
      <fill>
        <patternFill>
          <bgColor rgb="FFF3F7F8"/>
        </patternFill>
      </fill>
    </dxf>
    <dxf>
      <font>
        <color rgb="FF17324D"/>
      </font>
      <fill>
        <patternFill>
          <bgColor rgb="FFDCEFEB"/>
        </patternFill>
      </fill>
    </dxf>
    <dxf>
      <font>
        <color rgb="FFFFFFFF"/>
      </font>
      <fill>
        <patternFill>
          <bgColor rgb="FF17324D"/>
        </patternFill>
      </fill>
    </dxf>
    <dxf>
      <font>
        <color rgb="FF17324D"/>
      </font>
      <fill>
        <patternFill>
          <bgColor rgb="FFFFFFFF"/>
        </patternFill>
      </fill>
    </dxf>
  </dxfs>
  <tableStyles count="1" defaultTableStyle="TableStyleMedium2" defaultPivotStyle="PivotStyleLight16">
    <tableStyle name="IR Organiza - Rendimentos" pivot="0" count="5" xr9:uid="{7D0F5E20-C123-4F71-8ACA-C1F5C5EE2D92}">
      <tableStyleElement type="wholeTable" dxfId="60"/>
      <tableStyleElement type="headerRow" dxfId="59"/>
      <tableStyleElement type="totalRow" dxfId="58"/>
      <tableStyleElement type="firstRowStripe" dxfId="57"/>
      <tableStyleElement type="secondRowStripe" dxfId="56"/>
    </tableStyle>
  </tableStyles>
  <colors>
    <mruColors>
      <color rgb="FF17324D"/>
      <color rgb="FF168C83"/>
      <color rgb="FFD97706"/>
      <color rgb="FFDFE7EA"/>
      <color rgb="FF40C9BA"/>
      <color rgb="FFF3F7F8"/>
      <color rgb="FFFDE8E8"/>
      <color rgb="FFB42318"/>
      <color rgb="FFFFF0D9"/>
      <color rgb="FFE0F2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INÍCIO!$P$25</c:f>
              <c:strCache>
                <c:ptCount val="1"/>
                <c:pt idx="0">
                  <c:v>Progresso</c:v>
                </c:pt>
              </c:strCache>
            </c:strRef>
          </c:tx>
          <c:spPr>
            <a:solidFill>
              <a:srgbClr val="168C83"/>
            </a:solidFill>
            <a:ln>
              <a:solidFill>
                <a:srgbClr val="168C83"/>
              </a:solidFill>
            </a:ln>
            <a:effectLst/>
          </c:spPr>
          <c:invertIfNegative val="0"/>
          <c:val>
            <c:numRef>
              <c:f>INÍCIO!$P$26</c:f>
              <c:numCache>
                <c:formatCode>0%</c:formatCode>
                <c:ptCount val="1"/>
                <c:pt idx="0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1-4BA7-BE33-30396DB3F1F8}"/>
            </c:ext>
          </c:extLst>
        </c:ser>
        <c:ser>
          <c:idx val="1"/>
          <c:order val="1"/>
          <c:tx>
            <c:strRef>
              <c:f>INÍCIO!$Q$25</c:f>
              <c:strCache>
                <c:ptCount val="1"/>
                <c:pt idx="0">
                  <c:v>Restante</c:v>
                </c:pt>
              </c:strCache>
            </c:strRef>
          </c:tx>
          <c:spPr>
            <a:solidFill>
              <a:srgbClr val="DFE7EA"/>
            </a:solidFill>
            <a:ln>
              <a:noFill/>
            </a:ln>
            <a:effectLst/>
          </c:spPr>
          <c:invertIfNegative val="0"/>
          <c:val>
            <c:numRef>
              <c:f>INÍCIO!$Q$26</c:f>
              <c:numCache>
                <c:formatCode>0%</c:formatCode>
                <c:ptCount val="1"/>
                <c:pt idx="0">
                  <c:v>0.19999999999999996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C1-4BA7-BE33-30396DB3F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4601775"/>
        <c:axId val="1814602735"/>
      </c:barChart>
      <c:catAx>
        <c:axId val="18146017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14602735"/>
        <c:crosses val="autoZero"/>
        <c:auto val="1"/>
        <c:lblAlgn val="ctr"/>
        <c:lblOffset val="100"/>
        <c:noMultiLvlLbl val="0"/>
      </c:catAx>
      <c:valAx>
        <c:axId val="1814602735"/>
        <c:scaling>
          <c:orientation val="minMax"/>
          <c:max val="1"/>
        </c:scaling>
        <c:delete val="1"/>
        <c:axPos val="b"/>
        <c:numFmt formatCode="0%" sourceLinked="1"/>
        <c:majorTickMark val="none"/>
        <c:minorTickMark val="none"/>
        <c:tickLblPos val="nextTo"/>
        <c:crossAx val="1814601775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100" b="1" i="0" u="none" strike="noStrike" baseline="0">
                <a:solidFill>
                  <a:srgbClr val="17324D"/>
                </a:solidFill>
              </a:rPr>
              <a:t>RENDIMENTOS × PAGAMENTOS</a:t>
            </a:r>
            <a:endParaRPr lang="pt-BR" sz="1100" b="1">
              <a:solidFill>
                <a:srgbClr val="17324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RESUMO!$J$11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68C8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44-4294-87B8-14EE223533ED}"/>
              </c:ext>
            </c:extLst>
          </c:dPt>
          <c:dPt>
            <c:idx val="1"/>
            <c:invertIfNegative val="0"/>
            <c:bubble3D val="0"/>
            <c:spPr>
              <a:solidFill>
                <a:srgbClr val="40C9B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244-4294-87B8-14EE223533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RESUMO!$I$12:$I$13</c:f>
              <c:strCache>
                <c:ptCount val="2"/>
                <c:pt idx="0">
                  <c:v>Rendimentos</c:v>
                </c:pt>
                <c:pt idx="1">
                  <c:v>Pagamentos</c:v>
                </c:pt>
              </c:strCache>
            </c:strRef>
          </c:cat>
          <c:val>
            <c:numRef>
              <c:f>RESUMO!$J$12:$J$13</c:f>
              <c:numCache>
                <c:formatCode>"R$"\ #,##0.00</c:formatCode>
                <c:ptCount val="2"/>
                <c:pt idx="0">
                  <c:v>27006.3</c:v>
                </c:pt>
                <c:pt idx="1">
                  <c:v>7570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44-4294-87B8-14EE223533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0"/>
        <c:overlap val="-27"/>
        <c:axId val="385029279"/>
        <c:axId val="385028799"/>
      </c:barChart>
      <c:catAx>
        <c:axId val="3850292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5028799"/>
        <c:crosses val="autoZero"/>
        <c:auto val="0"/>
        <c:lblAlgn val="ctr"/>
        <c:lblOffset val="100"/>
        <c:noMultiLvlLbl val="0"/>
      </c:catAx>
      <c:valAx>
        <c:axId val="385028799"/>
        <c:scaling>
          <c:orientation val="minMax"/>
        </c:scaling>
        <c:delete val="1"/>
        <c:axPos val="l"/>
        <c:numFmt formatCode="&quot;R$&quot;\ #,##0.00" sourceLinked="1"/>
        <c:majorTickMark val="out"/>
        <c:minorTickMark val="none"/>
        <c:tickLblPos val="nextTo"/>
        <c:crossAx val="385029279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100" b="1" i="0" u="none" strike="noStrike" baseline="0">
                <a:solidFill>
                  <a:srgbClr val="17324D"/>
                </a:solidFill>
              </a:rPr>
              <a:t>SITUAÇÃO DOS DOCUMENTOS</a:t>
            </a:r>
            <a:endParaRPr lang="pt-BR" sz="1100" b="1">
              <a:solidFill>
                <a:srgbClr val="17324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RESUMO!$J$16</c:f>
              <c:strCache>
                <c:ptCount val="1"/>
                <c:pt idx="0">
                  <c:v>QUANTIDADE</c:v>
                </c:pt>
              </c:strCache>
            </c:strRef>
          </c:tx>
          <c:dPt>
            <c:idx val="0"/>
            <c:bubble3D val="0"/>
            <c:spPr>
              <a:solidFill>
                <a:srgbClr val="168C8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4D-437D-8AA5-898C657B50B7}"/>
              </c:ext>
            </c:extLst>
          </c:dPt>
          <c:dPt>
            <c:idx val="1"/>
            <c:bubble3D val="0"/>
            <c:spPr>
              <a:solidFill>
                <a:srgbClr val="D9770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34D-437D-8AA5-898C657B50B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763F276-F90F-4EB9-B518-E2142D956637}" type="PERCENTAGE">
                      <a:rPr lang="en-US">
                        <a:solidFill>
                          <a:schemeClr val="bg1"/>
                        </a:solidFill>
                      </a:rPr>
                      <a:pPr/>
                      <a:t>[PORCENTAGEM]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34D-437D-8AA5-898C657B50B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CE8BBA7-98DA-41E2-8618-962F61960AF1}" type="PERCENTAGE">
                      <a:rPr lang="en-US">
                        <a:solidFill>
                          <a:schemeClr val="bg1"/>
                        </a:solidFill>
                      </a:rPr>
                      <a:pPr/>
                      <a:t>[PORCENTAGEM]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F34D-437D-8AA5-898C657B50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RESUMO!$I$17:$I$18</c:f>
              <c:strCache>
                <c:ptCount val="2"/>
                <c:pt idx="0">
                  <c:v>Recebidos</c:v>
                </c:pt>
                <c:pt idx="1">
                  <c:v>Pendentes</c:v>
                </c:pt>
              </c:strCache>
            </c:strRef>
          </c:cat>
          <c:val>
            <c:numRef>
              <c:f>RESUMO!$J$17:$J$18</c:f>
              <c:numCache>
                <c:formatCode>General</c:formatCode>
                <c:ptCount val="2"/>
                <c:pt idx="0">
                  <c:v>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4D-437D-8AA5-898C657B50B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RESUMO!$L$20</c:f>
              <c:strCache>
                <c:ptCount val="1"/>
                <c:pt idx="0">
                  <c:v>% CONCLUÍDO</c:v>
                </c:pt>
              </c:strCache>
            </c:strRef>
          </c:tx>
          <c:spPr>
            <a:solidFill>
              <a:srgbClr val="168C83"/>
            </a:solidFill>
            <a:ln>
              <a:noFill/>
            </a:ln>
            <a:effectLst/>
          </c:spPr>
          <c:invertIfNegative val="0"/>
          <c:val>
            <c:numRef>
              <c:f>RESUMO!$L$21</c:f>
              <c:numCache>
                <c:formatCode>0%</c:formatCode>
                <c:ptCount val="1"/>
                <c:pt idx="0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FE5-4926-A33C-47A254E91E5E}"/>
            </c:ext>
          </c:extLst>
        </c:ser>
        <c:ser>
          <c:idx val="1"/>
          <c:order val="1"/>
          <c:tx>
            <c:v>RESTANTE</c:v>
          </c:tx>
          <c:spPr>
            <a:solidFill>
              <a:srgbClr val="DFE7EA"/>
            </a:solidFill>
            <a:ln>
              <a:noFill/>
            </a:ln>
            <a:effectLst/>
          </c:spPr>
          <c:invertIfNegative val="0"/>
          <c:val>
            <c:numRef>
              <c:f>RESUMO!$M$21</c:f>
              <c:numCache>
                <c:formatCode>0%</c:formatCode>
                <c:ptCount val="1"/>
                <c:pt idx="0">
                  <c:v>0.66666666666666674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FE5-4926-A33C-47A254E91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4601775"/>
        <c:axId val="1814602735"/>
      </c:barChart>
      <c:catAx>
        <c:axId val="18146017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14602735"/>
        <c:crosses val="autoZero"/>
        <c:auto val="1"/>
        <c:lblAlgn val="ctr"/>
        <c:lblOffset val="100"/>
        <c:noMultiLvlLbl val="0"/>
      </c:catAx>
      <c:valAx>
        <c:axId val="1814602735"/>
        <c:scaling>
          <c:orientation val="minMax"/>
          <c:max val="1"/>
        </c:scaling>
        <c:delete val="1"/>
        <c:axPos val="b"/>
        <c:numFmt formatCode="0%" sourceLinked="1"/>
        <c:majorTickMark val="none"/>
        <c:minorTickMark val="none"/>
        <c:tickLblPos val="nextTo"/>
        <c:crossAx val="1814601775"/>
        <c:crosses val="autoZero"/>
        <c:crossBetween val="between"/>
      </c:valAx>
      <c:spPr>
        <a:noFill/>
        <a:ln w="25400"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v>CONCLUIDO</c:v>
          </c:tx>
          <c:spPr>
            <a:solidFill>
              <a:srgbClr val="168C83"/>
            </a:solidFill>
            <a:ln>
              <a:noFill/>
            </a:ln>
            <a:effectLst/>
          </c:spPr>
          <c:invertIfNegative val="0"/>
          <c:val>
            <c:numRef>
              <c:f>RESUMO!$L$23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E5-4926-A33C-47A254E91E5E}"/>
            </c:ext>
          </c:extLst>
        </c:ser>
        <c:ser>
          <c:idx val="1"/>
          <c:order val="1"/>
          <c:tx>
            <c:v>RESTANTE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RESUMO!$M$23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E5-4926-A33C-47A254E91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4601775"/>
        <c:axId val="1814602735"/>
      </c:barChart>
      <c:catAx>
        <c:axId val="18146017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14602735"/>
        <c:crosses val="autoZero"/>
        <c:auto val="1"/>
        <c:lblAlgn val="ctr"/>
        <c:lblOffset val="100"/>
        <c:noMultiLvlLbl val="0"/>
      </c:catAx>
      <c:valAx>
        <c:axId val="1814602735"/>
        <c:scaling>
          <c:orientation val="minMax"/>
          <c:max val="1"/>
        </c:scaling>
        <c:delete val="1"/>
        <c:axPos val="b"/>
        <c:numFmt formatCode="0%" sourceLinked="1"/>
        <c:majorTickMark val="none"/>
        <c:minorTickMark val="none"/>
        <c:tickLblPos val="nextTo"/>
        <c:crossAx val="1814601775"/>
        <c:crosses val="autoZero"/>
        <c:crossBetween val="between"/>
      </c:valAx>
      <c:spPr>
        <a:noFill/>
        <a:ln w="25400"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v>CONCLUIDO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68C8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D282-4A80-B266-9F59DBDD7AF3}"/>
              </c:ext>
            </c:extLst>
          </c:dPt>
          <c:val>
            <c:numRef>
              <c:f>RESUMO!$L$24</c:f>
              <c:numCache>
                <c:formatCode>0%</c:formatCode>
                <c:ptCount val="1"/>
                <c:pt idx="0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E5-4926-A33C-47A254E91E5E}"/>
            </c:ext>
          </c:extLst>
        </c:ser>
        <c:ser>
          <c:idx val="1"/>
          <c:order val="1"/>
          <c:tx>
            <c:v>RESTANTE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DFE7E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282-4A80-B266-9F59DBDD7AF3}"/>
              </c:ext>
            </c:extLst>
          </c:dPt>
          <c:val>
            <c:numRef>
              <c:f>RESUMO!$M$24</c:f>
              <c:numCache>
                <c:formatCode>0%</c:formatCode>
                <c:ptCount val="1"/>
                <c:pt idx="0">
                  <c:v>0.19999999999999996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E5-4926-A33C-47A254E91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4601775"/>
        <c:axId val="1814602735"/>
      </c:barChart>
      <c:catAx>
        <c:axId val="18146017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14602735"/>
        <c:crosses val="autoZero"/>
        <c:auto val="1"/>
        <c:lblAlgn val="ctr"/>
        <c:lblOffset val="100"/>
        <c:noMultiLvlLbl val="0"/>
      </c:catAx>
      <c:valAx>
        <c:axId val="1814602735"/>
        <c:scaling>
          <c:orientation val="minMax"/>
          <c:max val="1"/>
        </c:scaling>
        <c:delete val="1"/>
        <c:axPos val="b"/>
        <c:numFmt formatCode="0%" sourceLinked="1"/>
        <c:majorTickMark val="none"/>
        <c:minorTickMark val="none"/>
        <c:tickLblPos val="nextTo"/>
        <c:crossAx val="1814601775"/>
        <c:crosses val="autoZero"/>
        <c:crossBetween val="between"/>
      </c:valAx>
      <c:spPr>
        <a:noFill/>
        <a:ln w="25400"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v>CONCLUIDO</c:v>
          </c:tx>
          <c:spPr>
            <a:solidFill>
              <a:srgbClr val="168C83"/>
            </a:solidFill>
            <a:ln>
              <a:noFill/>
            </a:ln>
            <a:effectLst/>
          </c:spPr>
          <c:invertIfNegative val="0"/>
          <c:val>
            <c:numRef>
              <c:f>RESUMO!$L$25</c:f>
              <c:numCache>
                <c:formatCode>0%</c:formatCode>
                <c:ptCount val="1"/>
                <c:pt idx="0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E5-4926-A33C-47A254E91E5E}"/>
            </c:ext>
          </c:extLst>
        </c:ser>
        <c:ser>
          <c:idx val="1"/>
          <c:order val="1"/>
          <c:tx>
            <c:v>RESTANTE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DFE7E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CA04-4C68-8592-421C947520E8}"/>
              </c:ext>
            </c:extLst>
          </c:dPt>
          <c:val>
            <c:numRef>
              <c:f>RESUMO!$M$25</c:f>
              <c:numCache>
                <c:formatCode>0%</c:formatCode>
                <c:ptCount val="1"/>
                <c:pt idx="0">
                  <c:v>0.19999999999999996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E5-4926-A33C-47A254E91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4601775"/>
        <c:axId val="1814602735"/>
      </c:barChart>
      <c:catAx>
        <c:axId val="18146017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14602735"/>
        <c:crosses val="autoZero"/>
        <c:auto val="1"/>
        <c:lblAlgn val="ctr"/>
        <c:lblOffset val="100"/>
        <c:noMultiLvlLbl val="0"/>
      </c:catAx>
      <c:valAx>
        <c:axId val="1814602735"/>
        <c:scaling>
          <c:orientation val="minMax"/>
          <c:max val="1"/>
        </c:scaling>
        <c:delete val="1"/>
        <c:axPos val="b"/>
        <c:numFmt formatCode="0%" sourceLinked="1"/>
        <c:majorTickMark val="none"/>
        <c:minorTickMark val="none"/>
        <c:tickLblPos val="nextTo"/>
        <c:crossAx val="1814601775"/>
        <c:crosses val="autoZero"/>
        <c:crossBetween val="between"/>
      </c:valAx>
      <c:spPr>
        <a:noFill/>
        <a:ln w="25400"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RESUMO!$L$20</c:f>
              <c:strCache>
                <c:ptCount val="1"/>
                <c:pt idx="0">
                  <c:v>% CONCLUÍDO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68C8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099-4BC9-B790-F2CB6D7F4712}"/>
              </c:ext>
            </c:extLst>
          </c:dPt>
          <c:val>
            <c:numRef>
              <c:f>RESUMO!$L$22</c:f>
              <c:numCache>
                <c:formatCode>0%</c:formatCode>
                <c:ptCount val="1"/>
                <c:pt idx="0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FE5-4926-A33C-47A254E91E5E}"/>
            </c:ext>
          </c:extLst>
        </c:ser>
        <c:ser>
          <c:idx val="1"/>
          <c:order val="1"/>
          <c:tx>
            <c:v>RESTANTE</c:v>
          </c:tx>
          <c:spPr>
            <a:solidFill>
              <a:srgbClr val="DFE7EA"/>
            </a:solidFill>
            <a:ln>
              <a:noFill/>
            </a:ln>
            <a:effectLst/>
          </c:spPr>
          <c:invertIfNegative val="0"/>
          <c:val>
            <c:numRef>
              <c:f>RESUMO!$M$22</c:f>
              <c:numCache>
                <c:formatCode>0%</c:formatCode>
                <c:ptCount val="1"/>
                <c:pt idx="0">
                  <c:v>9.9999999999999978E-2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FE5-4926-A33C-47A254E91E5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79"/>
        <c:overlap val="100"/>
        <c:axId val="1814601775"/>
        <c:axId val="1814602735"/>
      </c:barChart>
      <c:catAx>
        <c:axId val="18146017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14602735"/>
        <c:crosses val="autoZero"/>
        <c:auto val="1"/>
        <c:lblAlgn val="ctr"/>
        <c:lblOffset val="100"/>
        <c:noMultiLvlLbl val="0"/>
      </c:catAx>
      <c:valAx>
        <c:axId val="1814602735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814601775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v.br/receitafederal/pt-br/assuntos/meu-imposto-de-renda/servicos" TargetMode="External"/><Relationship Id="rId13" Type="http://schemas.openxmlformats.org/officeDocument/2006/relationships/image" Target="../media/image3.svg"/><Relationship Id="rId3" Type="http://schemas.openxmlformats.org/officeDocument/2006/relationships/hyperlink" Target="#'BENS E DIREITOS'!A1"/><Relationship Id="rId7" Type="http://schemas.openxmlformats.org/officeDocument/2006/relationships/hyperlink" Target="#PAGAMENTOS!A1"/><Relationship Id="rId12" Type="http://schemas.openxmlformats.org/officeDocument/2006/relationships/image" Target="../media/image2.png"/><Relationship Id="rId2" Type="http://schemas.openxmlformats.org/officeDocument/2006/relationships/hyperlink" Target="#TITULAR!A1"/><Relationship Id="rId1" Type="http://schemas.openxmlformats.org/officeDocument/2006/relationships/chart" Target="../charts/chart1.xml"/><Relationship Id="rId6" Type="http://schemas.openxmlformats.org/officeDocument/2006/relationships/hyperlink" Target="#RESUMO!A1"/><Relationship Id="rId11" Type="http://schemas.openxmlformats.org/officeDocument/2006/relationships/hyperlink" Target="https://github.com/camisarp" TargetMode="External"/><Relationship Id="rId5" Type="http://schemas.openxmlformats.org/officeDocument/2006/relationships/hyperlink" Target="#RENDIMENTOS!A1"/><Relationship Id="rId15" Type="http://schemas.openxmlformats.org/officeDocument/2006/relationships/image" Target="../media/image4.png"/><Relationship Id="rId10" Type="http://schemas.openxmlformats.org/officeDocument/2006/relationships/hyperlink" Target="#BANCOS!A1"/><Relationship Id="rId4" Type="http://schemas.openxmlformats.org/officeDocument/2006/relationships/hyperlink" Target="#DOCUMENTOS!A1"/><Relationship Id="rId9" Type="http://schemas.openxmlformats.org/officeDocument/2006/relationships/image" Target="../media/image1.png"/><Relationship Id="rId14" Type="http://schemas.openxmlformats.org/officeDocument/2006/relationships/hyperlink" Target="https://www.linkedin.com/in/camila-ribeiro-pinto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PAGAMENTOS!A1"/><Relationship Id="rId3" Type="http://schemas.openxmlformats.org/officeDocument/2006/relationships/hyperlink" Target="#TITULAR!A1"/><Relationship Id="rId7" Type="http://schemas.openxmlformats.org/officeDocument/2006/relationships/hyperlink" Target="#RENDIMENTOS!A1"/><Relationship Id="rId12" Type="http://schemas.openxmlformats.org/officeDocument/2006/relationships/hyperlink" Target="#IN&#205;CIO!A1"/><Relationship Id="rId2" Type="http://schemas.openxmlformats.org/officeDocument/2006/relationships/hyperlink" Target="#IN&#205;CIO!C1"/><Relationship Id="rId1" Type="http://schemas.openxmlformats.org/officeDocument/2006/relationships/image" Target="../media/image5.png"/><Relationship Id="rId6" Type="http://schemas.openxmlformats.org/officeDocument/2006/relationships/image" Target="../media/image6.png"/><Relationship Id="rId11" Type="http://schemas.openxmlformats.org/officeDocument/2006/relationships/hyperlink" Target="#RESUMO!A1"/><Relationship Id="rId5" Type="http://schemas.openxmlformats.org/officeDocument/2006/relationships/hyperlink" Target="https://www.linkedin.com/in/camila-ribeiro-pinto" TargetMode="External"/><Relationship Id="rId10" Type="http://schemas.openxmlformats.org/officeDocument/2006/relationships/hyperlink" Target="#DOCUMENTOS!A1"/><Relationship Id="rId4" Type="http://schemas.openxmlformats.org/officeDocument/2006/relationships/hyperlink" Target="#BANCOS!A1"/><Relationship Id="rId9" Type="http://schemas.openxmlformats.org/officeDocument/2006/relationships/hyperlink" Target="#'BENS E DIREITOS'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PAGAMENTOS!A1"/><Relationship Id="rId3" Type="http://schemas.openxmlformats.org/officeDocument/2006/relationships/hyperlink" Target="#INFORMES!C1"/><Relationship Id="rId7" Type="http://schemas.openxmlformats.org/officeDocument/2006/relationships/hyperlink" Target="#RENDIMENTOS!A1"/><Relationship Id="rId12" Type="http://schemas.openxmlformats.org/officeDocument/2006/relationships/hyperlink" Target="#TITULAR!A1"/><Relationship Id="rId2" Type="http://schemas.openxmlformats.org/officeDocument/2006/relationships/hyperlink" Target="#IN&#205;CIO!C1"/><Relationship Id="rId1" Type="http://schemas.openxmlformats.org/officeDocument/2006/relationships/image" Target="../media/image7.png"/><Relationship Id="rId6" Type="http://schemas.openxmlformats.org/officeDocument/2006/relationships/image" Target="../media/image6.png"/><Relationship Id="rId11" Type="http://schemas.openxmlformats.org/officeDocument/2006/relationships/hyperlink" Target="#RESUMO!A1"/><Relationship Id="rId5" Type="http://schemas.openxmlformats.org/officeDocument/2006/relationships/hyperlink" Target="https://www.linkedin.com/in/camila-ribeiro-pinto" TargetMode="External"/><Relationship Id="rId10" Type="http://schemas.openxmlformats.org/officeDocument/2006/relationships/hyperlink" Target="#DOCUMENTOS!A1"/><Relationship Id="rId4" Type="http://schemas.openxmlformats.org/officeDocument/2006/relationships/hyperlink" Target="#BANCOS!A1"/><Relationship Id="rId9" Type="http://schemas.openxmlformats.org/officeDocument/2006/relationships/hyperlink" Target="#'BENS E DIREITOS'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PAGAMENTOS!A1"/><Relationship Id="rId3" Type="http://schemas.openxmlformats.org/officeDocument/2006/relationships/hyperlink" Target="#INFORMES!C1"/><Relationship Id="rId7" Type="http://schemas.openxmlformats.org/officeDocument/2006/relationships/hyperlink" Target="#RENDIMENTOS!A1"/><Relationship Id="rId2" Type="http://schemas.openxmlformats.org/officeDocument/2006/relationships/hyperlink" Target="#IN&#205;CIO!C1"/><Relationship Id="rId1" Type="http://schemas.openxmlformats.org/officeDocument/2006/relationships/image" Target="../media/image7.png"/><Relationship Id="rId6" Type="http://schemas.openxmlformats.org/officeDocument/2006/relationships/image" Target="../media/image6.png"/><Relationship Id="rId11" Type="http://schemas.openxmlformats.org/officeDocument/2006/relationships/hyperlink" Target="#RESUMO!A1"/><Relationship Id="rId5" Type="http://schemas.openxmlformats.org/officeDocument/2006/relationships/hyperlink" Target="https://www.linkedin.com/in/camila-ribeiro-pinto" TargetMode="External"/><Relationship Id="rId10" Type="http://schemas.openxmlformats.org/officeDocument/2006/relationships/hyperlink" Target="#DOCUMENTOS!A1"/><Relationship Id="rId4" Type="http://schemas.openxmlformats.org/officeDocument/2006/relationships/hyperlink" Target="#BANCOS!A1"/><Relationship Id="rId9" Type="http://schemas.openxmlformats.org/officeDocument/2006/relationships/hyperlink" Target="#'BENS E DIREITOS'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PAGAMENTOS!A1"/><Relationship Id="rId3" Type="http://schemas.openxmlformats.org/officeDocument/2006/relationships/hyperlink" Target="#INFORMES!C1"/><Relationship Id="rId7" Type="http://schemas.openxmlformats.org/officeDocument/2006/relationships/hyperlink" Target="#RENDIMENTOS!A1"/><Relationship Id="rId2" Type="http://schemas.openxmlformats.org/officeDocument/2006/relationships/hyperlink" Target="#IN&#205;CIO!C1"/><Relationship Id="rId1" Type="http://schemas.openxmlformats.org/officeDocument/2006/relationships/image" Target="../media/image7.png"/><Relationship Id="rId6" Type="http://schemas.openxmlformats.org/officeDocument/2006/relationships/image" Target="../media/image6.png"/><Relationship Id="rId11" Type="http://schemas.openxmlformats.org/officeDocument/2006/relationships/hyperlink" Target="#RESUMO!A1"/><Relationship Id="rId5" Type="http://schemas.openxmlformats.org/officeDocument/2006/relationships/hyperlink" Target="https://www.linkedin.com/in/camila-ribeiro-pinto" TargetMode="External"/><Relationship Id="rId10" Type="http://schemas.openxmlformats.org/officeDocument/2006/relationships/hyperlink" Target="#DOCUMENTOS!A1"/><Relationship Id="rId4" Type="http://schemas.openxmlformats.org/officeDocument/2006/relationships/hyperlink" Target="#BANCOS!A1"/><Relationship Id="rId9" Type="http://schemas.openxmlformats.org/officeDocument/2006/relationships/hyperlink" Target="#'BENS E DIREITOS'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PAGAMENTOS!A1"/><Relationship Id="rId3" Type="http://schemas.openxmlformats.org/officeDocument/2006/relationships/hyperlink" Target="#INFORMES!C1"/><Relationship Id="rId7" Type="http://schemas.openxmlformats.org/officeDocument/2006/relationships/hyperlink" Target="#RENDIMENTOS!A1"/><Relationship Id="rId2" Type="http://schemas.openxmlformats.org/officeDocument/2006/relationships/hyperlink" Target="#IN&#205;CIO!C1"/><Relationship Id="rId1" Type="http://schemas.openxmlformats.org/officeDocument/2006/relationships/image" Target="../media/image7.png"/><Relationship Id="rId6" Type="http://schemas.openxmlformats.org/officeDocument/2006/relationships/image" Target="../media/image6.png"/><Relationship Id="rId11" Type="http://schemas.openxmlformats.org/officeDocument/2006/relationships/hyperlink" Target="#RESUMO!A1"/><Relationship Id="rId5" Type="http://schemas.openxmlformats.org/officeDocument/2006/relationships/hyperlink" Target="https://www.linkedin.com/in/camila-ribeiro-pinto" TargetMode="External"/><Relationship Id="rId10" Type="http://schemas.openxmlformats.org/officeDocument/2006/relationships/hyperlink" Target="#DOCUMENTOS!A1"/><Relationship Id="rId4" Type="http://schemas.openxmlformats.org/officeDocument/2006/relationships/hyperlink" Target="#BANCOS!A1"/><Relationship Id="rId9" Type="http://schemas.openxmlformats.org/officeDocument/2006/relationships/hyperlink" Target="#'BENS E DIREITOS'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PAGAMENTOS!A1"/><Relationship Id="rId3" Type="http://schemas.openxmlformats.org/officeDocument/2006/relationships/hyperlink" Target="#INFORMES!C1"/><Relationship Id="rId7" Type="http://schemas.openxmlformats.org/officeDocument/2006/relationships/hyperlink" Target="#RENDIMENTOS!A1"/><Relationship Id="rId2" Type="http://schemas.openxmlformats.org/officeDocument/2006/relationships/hyperlink" Target="#IN&#205;CIO!C1"/><Relationship Id="rId1" Type="http://schemas.openxmlformats.org/officeDocument/2006/relationships/image" Target="../media/image7.png"/><Relationship Id="rId6" Type="http://schemas.openxmlformats.org/officeDocument/2006/relationships/image" Target="../media/image6.png"/><Relationship Id="rId11" Type="http://schemas.openxmlformats.org/officeDocument/2006/relationships/hyperlink" Target="#RESUMO!A1"/><Relationship Id="rId5" Type="http://schemas.openxmlformats.org/officeDocument/2006/relationships/hyperlink" Target="https://www.linkedin.com/in/camila-ribeiro-pinto" TargetMode="External"/><Relationship Id="rId10" Type="http://schemas.openxmlformats.org/officeDocument/2006/relationships/hyperlink" Target="#DOCUMENTOS!A1"/><Relationship Id="rId4" Type="http://schemas.openxmlformats.org/officeDocument/2006/relationships/hyperlink" Target="#BANCOS!A1"/><Relationship Id="rId9" Type="http://schemas.openxmlformats.org/officeDocument/2006/relationships/hyperlink" Target="#'BRNS E DIREITOS'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PAGAMENTOS!A1"/><Relationship Id="rId13" Type="http://schemas.openxmlformats.org/officeDocument/2006/relationships/chart" Target="../charts/chart3.xml"/><Relationship Id="rId18" Type="http://schemas.openxmlformats.org/officeDocument/2006/relationships/chart" Target="../charts/chart8.xml"/><Relationship Id="rId3" Type="http://schemas.openxmlformats.org/officeDocument/2006/relationships/hyperlink" Target="#INFORMES!C1"/><Relationship Id="rId7" Type="http://schemas.openxmlformats.org/officeDocument/2006/relationships/hyperlink" Target="#RENDIMENTOS!A1"/><Relationship Id="rId12" Type="http://schemas.openxmlformats.org/officeDocument/2006/relationships/chart" Target="../charts/chart2.xml"/><Relationship Id="rId17" Type="http://schemas.openxmlformats.org/officeDocument/2006/relationships/chart" Target="../charts/chart7.xml"/><Relationship Id="rId2" Type="http://schemas.openxmlformats.org/officeDocument/2006/relationships/hyperlink" Target="#IN&#205;CIO!C1"/><Relationship Id="rId16" Type="http://schemas.openxmlformats.org/officeDocument/2006/relationships/chart" Target="../charts/chart6.xml"/><Relationship Id="rId1" Type="http://schemas.openxmlformats.org/officeDocument/2006/relationships/image" Target="../media/image5.png"/><Relationship Id="rId6" Type="http://schemas.openxmlformats.org/officeDocument/2006/relationships/image" Target="../media/image6.png"/><Relationship Id="rId11" Type="http://schemas.openxmlformats.org/officeDocument/2006/relationships/hyperlink" Target="#RESUMO!A1"/><Relationship Id="rId5" Type="http://schemas.openxmlformats.org/officeDocument/2006/relationships/hyperlink" Target="https://www.linkedin.com/in/camila-ribeiro-pinto" TargetMode="External"/><Relationship Id="rId15" Type="http://schemas.openxmlformats.org/officeDocument/2006/relationships/chart" Target="../charts/chart5.xml"/><Relationship Id="rId10" Type="http://schemas.openxmlformats.org/officeDocument/2006/relationships/hyperlink" Target="#DOCUMENTOS!A1"/><Relationship Id="rId4" Type="http://schemas.openxmlformats.org/officeDocument/2006/relationships/hyperlink" Target="#BANCOS!A1"/><Relationship Id="rId9" Type="http://schemas.openxmlformats.org/officeDocument/2006/relationships/hyperlink" Target="#'BRNS E DIREITOS'!A1"/><Relationship Id="rId1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PAGAMENTOS!A1"/><Relationship Id="rId3" Type="http://schemas.openxmlformats.org/officeDocument/2006/relationships/hyperlink" Target="#INFORMES!C1"/><Relationship Id="rId7" Type="http://schemas.openxmlformats.org/officeDocument/2006/relationships/hyperlink" Target="#RENDIMENTOS!A1"/><Relationship Id="rId2" Type="http://schemas.openxmlformats.org/officeDocument/2006/relationships/hyperlink" Target="#IN&#205;CIO!C1"/><Relationship Id="rId1" Type="http://schemas.openxmlformats.org/officeDocument/2006/relationships/image" Target="../media/image5.png"/><Relationship Id="rId6" Type="http://schemas.openxmlformats.org/officeDocument/2006/relationships/image" Target="../media/image6.png"/><Relationship Id="rId11" Type="http://schemas.openxmlformats.org/officeDocument/2006/relationships/hyperlink" Target="#RESUMO!A1"/><Relationship Id="rId5" Type="http://schemas.openxmlformats.org/officeDocument/2006/relationships/hyperlink" Target="https://www.linkedin.com/in/camila-ribeiro-pinto" TargetMode="External"/><Relationship Id="rId10" Type="http://schemas.openxmlformats.org/officeDocument/2006/relationships/hyperlink" Target="#DOCUMENTOS!A1"/><Relationship Id="rId4" Type="http://schemas.openxmlformats.org/officeDocument/2006/relationships/hyperlink" Target="#BANCOS!A1"/><Relationship Id="rId9" Type="http://schemas.openxmlformats.org/officeDocument/2006/relationships/hyperlink" Target="#'BENS E DIREITOS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683654</xdr:colOff>
      <xdr:row>11</xdr:row>
      <xdr:rowOff>107950</xdr:rowOff>
    </xdr:from>
    <xdr:to>
      <xdr:col>5</xdr:col>
      <xdr:colOff>674129</xdr:colOff>
      <xdr:row>13</xdr:row>
      <xdr:rowOff>79375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28726A37-C445-4C18-AABA-0BFB4196139C}"/>
            </a:ext>
          </a:extLst>
        </xdr:cNvPr>
        <xdr:cNvSpPr/>
      </xdr:nvSpPr>
      <xdr:spPr>
        <a:xfrm>
          <a:off x="1817129" y="2095500"/>
          <a:ext cx="2638425" cy="339725"/>
        </a:xfrm>
        <a:prstGeom prst="roundRect">
          <a:avLst>
            <a:gd name="adj" fmla="val 50000"/>
          </a:avLst>
        </a:prstGeom>
        <a:solidFill>
          <a:srgbClr val="F3F7F8"/>
        </a:solidFill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168C83"/>
              </a:solidFill>
            </a:rPr>
            <a:t>2025</a:t>
          </a:r>
        </a:p>
      </xdr:txBody>
    </xdr:sp>
    <xdr:clientData/>
  </xdr:twoCellAnchor>
  <xdr:twoCellAnchor editAs="oneCell">
    <xdr:from>
      <xdr:col>7</xdr:col>
      <xdr:colOff>541308</xdr:colOff>
      <xdr:row>11</xdr:row>
      <xdr:rowOff>107950</xdr:rowOff>
    </xdr:from>
    <xdr:to>
      <xdr:col>10</xdr:col>
      <xdr:colOff>528608</xdr:colOff>
      <xdr:row>13</xdr:row>
      <xdr:rowOff>79375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841A1BA4-2493-4AD1-85BB-A3230876FD43}"/>
            </a:ext>
          </a:extLst>
        </xdr:cNvPr>
        <xdr:cNvSpPr/>
      </xdr:nvSpPr>
      <xdr:spPr>
        <a:xfrm>
          <a:off x="6107083" y="2095500"/>
          <a:ext cx="2635250" cy="339725"/>
        </a:xfrm>
        <a:prstGeom prst="roundRect">
          <a:avLst>
            <a:gd name="adj" fmla="val 50000"/>
          </a:avLst>
        </a:prstGeom>
        <a:solidFill>
          <a:srgbClr val="F3F7F8"/>
        </a:solidFill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168C83"/>
              </a:solidFill>
            </a:rPr>
            <a:t>2026</a:t>
          </a:r>
        </a:p>
      </xdr:txBody>
    </xdr:sp>
    <xdr:clientData/>
  </xdr:twoCellAnchor>
  <xdr:twoCellAnchor>
    <xdr:from>
      <xdr:col>1</xdr:col>
      <xdr:colOff>152400</xdr:colOff>
      <xdr:row>17</xdr:row>
      <xdr:rowOff>97216</xdr:rowOff>
    </xdr:from>
    <xdr:to>
      <xdr:col>3</xdr:col>
      <xdr:colOff>547496</xdr:colOff>
      <xdr:row>22</xdr:row>
      <xdr:rowOff>76466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603AEF52-18EF-450B-7B88-66C83F79AD04}"/>
            </a:ext>
          </a:extLst>
        </xdr:cNvPr>
        <xdr:cNvSpPr/>
      </xdr:nvSpPr>
      <xdr:spPr>
        <a:xfrm>
          <a:off x="400050" y="3278566"/>
          <a:ext cx="2160396" cy="900000"/>
        </a:xfrm>
        <a:prstGeom prst="roundRect">
          <a:avLst/>
        </a:prstGeom>
        <a:solidFill>
          <a:srgbClr val="F3F7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17324D"/>
              </a:solidFill>
              <a:latin typeface="+mn-lt"/>
              <a:ea typeface="+mn-ea"/>
              <a:cs typeface="+mn-cs"/>
            </a:rPr>
            <a:t>RENDIMENTOS</a:t>
          </a:r>
        </a:p>
        <a:p>
          <a:pPr algn="ctr"/>
          <a:endParaRPr lang="pt-BR" sz="1000">
            <a:solidFill>
              <a:srgbClr val="64748B"/>
            </a:solidFill>
            <a:latin typeface="+mn-lt"/>
            <a:ea typeface="+mn-ea"/>
            <a:cs typeface="+mn-cs"/>
          </a:endParaRPr>
        </a:p>
        <a:p>
          <a:pPr algn="ctr"/>
          <a:endParaRPr lang="pt-BR" sz="1000">
            <a:solidFill>
              <a:srgbClr val="64748B"/>
            </a:solidFill>
            <a:latin typeface="+mn-lt"/>
            <a:ea typeface="+mn-ea"/>
            <a:cs typeface="+mn-cs"/>
          </a:endParaRPr>
        </a:p>
        <a:p>
          <a:pPr algn="ctr"/>
          <a:r>
            <a:rPr lang="pt-BR" sz="1000">
              <a:solidFill>
                <a:srgbClr val="64748B"/>
              </a:solidFill>
              <a:latin typeface="+mn-lt"/>
              <a:ea typeface="+mn-ea"/>
              <a:cs typeface="+mn-cs"/>
            </a:rPr>
            <a:t>Total registrado</a:t>
          </a:r>
        </a:p>
      </xdr:txBody>
    </xdr:sp>
    <xdr:clientData/>
  </xdr:twoCellAnchor>
  <xdr:twoCellAnchor>
    <xdr:from>
      <xdr:col>3</xdr:col>
      <xdr:colOff>875120</xdr:colOff>
      <xdr:row>17</xdr:row>
      <xdr:rowOff>97216</xdr:rowOff>
    </xdr:from>
    <xdr:to>
      <xdr:col>6</xdr:col>
      <xdr:colOff>387566</xdr:colOff>
      <xdr:row>22</xdr:row>
      <xdr:rowOff>76466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8FE1096A-DE52-7388-F0CF-0C8B15AD647A}"/>
            </a:ext>
          </a:extLst>
        </xdr:cNvPr>
        <xdr:cNvSpPr/>
      </xdr:nvSpPr>
      <xdr:spPr>
        <a:xfrm>
          <a:off x="2888070" y="3278566"/>
          <a:ext cx="2160396" cy="900000"/>
        </a:xfrm>
        <a:prstGeom prst="roundRect">
          <a:avLst/>
        </a:prstGeom>
        <a:solidFill>
          <a:srgbClr val="F3F7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17324D"/>
              </a:solidFill>
              <a:latin typeface="+mn-lt"/>
              <a:ea typeface="+mn-ea"/>
              <a:cs typeface="+mn-cs"/>
            </a:rPr>
            <a:t>BANCOS</a:t>
          </a:r>
        </a:p>
        <a:p>
          <a:pPr algn="ctr"/>
          <a:endParaRPr lang="pt-BR" sz="1000">
            <a:solidFill>
              <a:srgbClr val="64748B"/>
            </a:solidFill>
            <a:latin typeface="+mn-lt"/>
            <a:ea typeface="+mn-ea"/>
            <a:cs typeface="+mn-cs"/>
          </a:endParaRPr>
        </a:p>
        <a:p>
          <a:pPr algn="ctr"/>
          <a:endParaRPr lang="pt-BR" sz="1000">
            <a:solidFill>
              <a:srgbClr val="64748B"/>
            </a:solidFill>
            <a:latin typeface="+mn-lt"/>
            <a:ea typeface="+mn-ea"/>
            <a:cs typeface="+mn-cs"/>
          </a:endParaRPr>
        </a:p>
        <a:p>
          <a:pPr algn="ctr"/>
          <a:r>
            <a:rPr lang="pt-BR" sz="1000">
              <a:solidFill>
                <a:srgbClr val="64748B"/>
              </a:solidFill>
              <a:latin typeface="+mn-lt"/>
              <a:ea typeface="+mn-ea"/>
              <a:cs typeface="+mn-cs"/>
            </a:rPr>
            <a:t>Instituições</a:t>
          </a:r>
          <a:r>
            <a:rPr lang="pt-BR" sz="1000" baseline="0">
              <a:solidFill>
                <a:srgbClr val="64748B"/>
              </a:solidFill>
              <a:latin typeface="+mn-lt"/>
              <a:ea typeface="+mn-ea"/>
              <a:cs typeface="+mn-cs"/>
            </a:rPr>
            <a:t> cadastradas</a:t>
          </a:r>
          <a:endParaRPr lang="pt-BR" sz="1000">
            <a:solidFill>
              <a:srgbClr val="64748B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777738</xdr:colOff>
      <xdr:row>17</xdr:row>
      <xdr:rowOff>97216</xdr:rowOff>
    </xdr:from>
    <xdr:to>
      <xdr:col>9</xdr:col>
      <xdr:colOff>290184</xdr:colOff>
      <xdr:row>22</xdr:row>
      <xdr:rowOff>76466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18AE52EA-9E47-1F77-C165-9839F2C130F6}"/>
            </a:ext>
          </a:extLst>
        </xdr:cNvPr>
        <xdr:cNvSpPr/>
      </xdr:nvSpPr>
      <xdr:spPr>
        <a:xfrm>
          <a:off x="5438638" y="3278566"/>
          <a:ext cx="2160396" cy="900000"/>
        </a:xfrm>
        <a:prstGeom prst="roundRect">
          <a:avLst/>
        </a:prstGeom>
        <a:solidFill>
          <a:srgbClr val="F3F7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17324D"/>
              </a:solidFill>
              <a:latin typeface="+mn-lt"/>
              <a:ea typeface="+mn-ea"/>
              <a:cs typeface="+mn-cs"/>
            </a:rPr>
            <a:t>DOCUMENTOS</a:t>
          </a:r>
        </a:p>
        <a:p>
          <a:pPr algn="ctr"/>
          <a:endParaRPr lang="pt-BR" sz="1000">
            <a:solidFill>
              <a:srgbClr val="64748B"/>
            </a:solidFill>
            <a:latin typeface="+mn-lt"/>
            <a:ea typeface="+mn-ea"/>
            <a:cs typeface="+mn-cs"/>
          </a:endParaRPr>
        </a:p>
        <a:p>
          <a:pPr algn="ctr"/>
          <a:endParaRPr lang="pt-BR" sz="1000">
            <a:solidFill>
              <a:srgbClr val="64748B"/>
            </a:solidFill>
            <a:latin typeface="+mn-lt"/>
            <a:ea typeface="+mn-ea"/>
            <a:cs typeface="+mn-cs"/>
          </a:endParaRPr>
        </a:p>
        <a:p>
          <a:pPr algn="ctr"/>
          <a:r>
            <a:rPr lang="pt-BR" sz="1000">
              <a:solidFill>
                <a:srgbClr val="64748B"/>
              </a:solidFill>
              <a:latin typeface="+mn-lt"/>
              <a:ea typeface="+mn-ea"/>
              <a:cs typeface="+mn-cs"/>
            </a:rPr>
            <a:t>Comprovantes</a:t>
          </a:r>
          <a:r>
            <a:rPr lang="pt-BR" sz="1000" baseline="0">
              <a:solidFill>
                <a:srgbClr val="64748B"/>
              </a:solidFill>
              <a:latin typeface="+mn-lt"/>
              <a:ea typeface="+mn-ea"/>
              <a:cs typeface="+mn-cs"/>
            </a:rPr>
            <a:t> recebidos</a:t>
          </a:r>
          <a:endParaRPr lang="pt-BR" sz="1000">
            <a:solidFill>
              <a:srgbClr val="64748B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762404</xdr:colOff>
      <xdr:row>17</xdr:row>
      <xdr:rowOff>97216</xdr:rowOff>
    </xdr:from>
    <xdr:to>
      <xdr:col>12</xdr:col>
      <xdr:colOff>274850</xdr:colOff>
      <xdr:row>22</xdr:row>
      <xdr:rowOff>76466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F9D39358-D9ED-5195-5D11-D869BDD09866}"/>
            </a:ext>
          </a:extLst>
        </xdr:cNvPr>
        <xdr:cNvSpPr/>
      </xdr:nvSpPr>
      <xdr:spPr>
        <a:xfrm>
          <a:off x="8071254" y="3278566"/>
          <a:ext cx="2160396" cy="900000"/>
        </a:xfrm>
        <a:prstGeom prst="roundRect">
          <a:avLst/>
        </a:prstGeom>
        <a:solidFill>
          <a:srgbClr val="F3F7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17324D"/>
              </a:solidFill>
              <a:latin typeface="+mn-lt"/>
              <a:ea typeface="+mn-ea"/>
              <a:cs typeface="+mn-cs"/>
            </a:rPr>
            <a:t>PENDÊNCIAS</a:t>
          </a:r>
        </a:p>
        <a:p>
          <a:pPr algn="ctr"/>
          <a:endParaRPr lang="pt-BR" sz="1000">
            <a:solidFill>
              <a:srgbClr val="64748B"/>
            </a:solidFill>
            <a:latin typeface="+mn-lt"/>
            <a:ea typeface="+mn-ea"/>
            <a:cs typeface="+mn-cs"/>
          </a:endParaRPr>
        </a:p>
        <a:p>
          <a:pPr algn="ctr"/>
          <a:endParaRPr lang="pt-BR" sz="1000">
            <a:solidFill>
              <a:srgbClr val="64748B"/>
            </a:solidFill>
            <a:latin typeface="+mn-lt"/>
            <a:ea typeface="+mn-ea"/>
            <a:cs typeface="+mn-cs"/>
          </a:endParaRPr>
        </a:p>
        <a:p>
          <a:pPr algn="ctr"/>
          <a:r>
            <a:rPr lang="pt-BR" sz="1000">
              <a:solidFill>
                <a:srgbClr val="64748B"/>
              </a:solidFill>
              <a:latin typeface="+mn-lt"/>
              <a:ea typeface="+mn-ea"/>
              <a:cs typeface="+mn-cs"/>
            </a:rPr>
            <a:t>Documentos</a:t>
          </a:r>
          <a:r>
            <a:rPr lang="pt-BR" sz="1000" baseline="0">
              <a:solidFill>
                <a:srgbClr val="64748B"/>
              </a:solidFill>
              <a:latin typeface="+mn-lt"/>
              <a:ea typeface="+mn-ea"/>
              <a:cs typeface="+mn-cs"/>
            </a:rPr>
            <a:t> faltantes</a:t>
          </a:r>
          <a:endParaRPr lang="pt-BR" sz="1000">
            <a:solidFill>
              <a:srgbClr val="64748B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82550</xdr:colOff>
      <xdr:row>24</xdr:row>
      <xdr:rowOff>107950</xdr:rowOff>
    </xdr:from>
    <xdr:to>
      <xdr:col>12</xdr:col>
      <xdr:colOff>374650</xdr:colOff>
      <xdr:row>30</xdr:row>
      <xdr:rowOff>126526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8FB0DA6C-0D5A-421F-8C6D-8588B25DB2C5}"/>
            </a:ext>
          </a:extLst>
        </xdr:cNvPr>
        <xdr:cNvSpPr/>
      </xdr:nvSpPr>
      <xdr:spPr>
        <a:xfrm>
          <a:off x="333375" y="4505325"/>
          <a:ext cx="10001250" cy="1237776"/>
        </a:xfrm>
        <a:prstGeom prst="roundRect">
          <a:avLst/>
        </a:prstGeom>
        <a:solidFill>
          <a:srgbClr val="F3F7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</xdr:col>
      <xdr:colOff>142875</xdr:colOff>
      <xdr:row>25</xdr:row>
      <xdr:rowOff>173176</xdr:rowOff>
    </xdr:from>
    <xdr:to>
      <xdr:col>5</xdr:col>
      <xdr:colOff>224975</xdr:colOff>
      <xdr:row>26</xdr:row>
      <xdr:rowOff>89140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1AFFC8F0-E24E-42DE-8AFC-F97CD6E50D97}"/>
            </a:ext>
          </a:extLst>
        </xdr:cNvPr>
        <xdr:cNvSpPr txBox="1"/>
      </xdr:nvSpPr>
      <xdr:spPr>
        <a:xfrm>
          <a:off x="387350" y="4754701"/>
          <a:ext cx="3612700" cy="2144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100" b="1">
              <a:solidFill>
                <a:srgbClr val="17324D"/>
              </a:solidFill>
              <a:latin typeface="+mj-lt"/>
            </a:rPr>
            <a:t>ORGANIZAÇÃO DOS DOCUMENTOS</a:t>
          </a:r>
        </a:p>
      </xdr:txBody>
    </xdr:sp>
    <xdr:clientData/>
  </xdr:twoCellAnchor>
  <xdr:twoCellAnchor editAs="oneCell">
    <xdr:from>
      <xdr:col>11</xdr:col>
      <xdr:colOff>427762</xdr:colOff>
      <xdr:row>24</xdr:row>
      <xdr:rowOff>149738</xdr:rowOff>
    </xdr:from>
    <xdr:to>
      <xdr:col>12</xdr:col>
      <xdr:colOff>273050</xdr:colOff>
      <xdr:row>25</xdr:row>
      <xdr:rowOff>252002</xdr:rowOff>
    </xdr:to>
    <xdr:sp macro="" textlink="INÍCIO!$P$26">
      <xdr:nvSpPr>
        <xdr:cNvPr id="11" name="CaixaDeTexto 10">
          <a:extLst>
            <a:ext uri="{FF2B5EF4-FFF2-40B4-BE49-F238E27FC236}">
              <a16:creationId xmlns:a16="http://schemas.microsoft.com/office/drawing/2014/main" id="{125989EC-1DE4-4BFF-8B7A-F00A04BB314E}"/>
            </a:ext>
          </a:extLst>
        </xdr:cNvPr>
        <xdr:cNvSpPr txBox="1"/>
      </xdr:nvSpPr>
      <xdr:spPr>
        <a:xfrm>
          <a:off x="9536837" y="4550288"/>
          <a:ext cx="727938" cy="2864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7B97C25F-5B01-4C76-A7F3-4FD9E6E3B73F}" type="TxLink">
            <a:rPr lang="en-US" sz="1800" b="1" i="0" u="none" strike="noStrike">
              <a:solidFill>
                <a:srgbClr val="168C83"/>
              </a:solidFill>
              <a:latin typeface="Aptos Display"/>
            </a:rPr>
            <a:pPr algn="ctr"/>
            <a:t>80%</a:t>
          </a:fld>
          <a:endParaRPr lang="pt-BR" sz="1600" b="1">
            <a:solidFill>
              <a:srgbClr val="168C83"/>
            </a:solidFill>
            <a:latin typeface="+mj-lt"/>
          </a:endParaRPr>
        </a:p>
      </xdr:txBody>
    </xdr:sp>
    <xdr:clientData/>
  </xdr:twoCellAnchor>
  <xdr:twoCellAnchor editAs="oneCell">
    <xdr:from>
      <xdr:col>1</xdr:col>
      <xdr:colOff>142875</xdr:colOff>
      <xdr:row>26</xdr:row>
      <xdr:rowOff>10314</xdr:rowOff>
    </xdr:from>
    <xdr:to>
      <xdr:col>12</xdr:col>
      <xdr:colOff>314325</xdr:colOff>
      <xdr:row>29</xdr:row>
      <xdr:rowOff>4214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8E994671-4A7F-4F3D-B1B7-0EDC8A547A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139700</xdr:colOff>
      <xdr:row>28</xdr:row>
      <xdr:rowOff>103188</xdr:rowOff>
    </xdr:from>
    <xdr:to>
      <xdr:col>7</xdr:col>
      <xdr:colOff>275550</xdr:colOff>
      <xdr:row>29</xdr:row>
      <xdr:rowOff>136624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DD681875-42AC-4F31-9236-A3BA7B4EAF13}"/>
            </a:ext>
          </a:extLst>
        </xdr:cNvPr>
        <xdr:cNvSpPr txBox="1"/>
      </xdr:nvSpPr>
      <xdr:spPr>
        <a:xfrm>
          <a:off x="390525" y="5345113"/>
          <a:ext cx="5431750" cy="2175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>
              <a:solidFill>
                <a:srgbClr val="64748B"/>
              </a:solidFill>
              <a:latin typeface="+mj-lt"/>
              <a:ea typeface="+mn-ea"/>
              <a:cs typeface="+mn-cs"/>
            </a:rPr>
            <a:t>Acompanhe o recebimento dos comprovantes para sua declaração.</a:t>
          </a:r>
          <a:endParaRPr lang="pt-BR" sz="1000">
            <a:solidFill>
              <a:srgbClr val="64748B"/>
            </a:solidFill>
            <a:latin typeface="+mj-lt"/>
          </a:endParaRPr>
        </a:p>
        <a:p>
          <a:endParaRPr lang="pt-BR" sz="1000">
            <a:solidFill>
              <a:srgbClr val="64748B"/>
            </a:solidFill>
            <a:latin typeface="+mj-lt"/>
          </a:endParaRPr>
        </a:p>
      </xdr:txBody>
    </xdr:sp>
    <xdr:clientData/>
  </xdr:twoCellAnchor>
  <xdr:twoCellAnchor editAs="oneCell">
    <xdr:from>
      <xdr:col>1</xdr:col>
      <xdr:colOff>152400</xdr:colOff>
      <xdr:row>31</xdr:row>
      <xdr:rowOff>122163</xdr:rowOff>
    </xdr:from>
    <xdr:to>
      <xdr:col>3</xdr:col>
      <xdr:colOff>556625</xdr:colOff>
      <xdr:row>33</xdr:row>
      <xdr:rowOff>647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857BD502-BAC2-4055-BA5F-43B05489CE3A}"/>
            </a:ext>
          </a:extLst>
        </xdr:cNvPr>
        <xdr:cNvSpPr txBox="1"/>
      </xdr:nvSpPr>
      <xdr:spPr>
        <a:xfrm>
          <a:off x="400050" y="6087988"/>
          <a:ext cx="2169525" cy="244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>
              <a:solidFill>
                <a:srgbClr val="17324D"/>
              </a:solidFill>
              <a:latin typeface="+mj-lt"/>
            </a:rPr>
            <a:t>ACESSO RÁPIDO</a:t>
          </a:r>
        </a:p>
      </xdr:txBody>
    </xdr:sp>
    <xdr:clientData/>
  </xdr:twoCellAnchor>
  <xdr:twoCellAnchor editAs="oneCell">
    <xdr:from>
      <xdr:col>1</xdr:col>
      <xdr:colOff>152399</xdr:colOff>
      <xdr:row>33</xdr:row>
      <xdr:rowOff>165055</xdr:rowOff>
    </xdr:from>
    <xdr:to>
      <xdr:col>3</xdr:col>
      <xdr:colOff>749299</xdr:colOff>
      <xdr:row>36</xdr:row>
      <xdr:rowOff>155779</xdr:rowOff>
    </xdr:to>
    <xdr:sp macro="" textlink="">
      <xdr:nvSpPr>
        <xdr:cNvPr id="15" name="Retângulo: Cantos Arredondados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B7AB2B-E5BD-4403-BCA3-C44A4ABDF1B7}"/>
            </a:ext>
          </a:extLst>
        </xdr:cNvPr>
        <xdr:cNvSpPr/>
      </xdr:nvSpPr>
      <xdr:spPr>
        <a:xfrm>
          <a:off x="400049" y="6486480"/>
          <a:ext cx="2362200" cy="543175"/>
        </a:xfrm>
        <a:prstGeom prst="roundRect">
          <a:avLst/>
        </a:prstGeom>
        <a:solidFill>
          <a:srgbClr val="17324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+mj-lt"/>
            </a:rPr>
            <a:t>TITULAR</a:t>
          </a:r>
        </a:p>
      </xdr:txBody>
    </xdr:sp>
    <xdr:clientData/>
  </xdr:twoCellAnchor>
  <xdr:twoCellAnchor editAs="oneCell">
    <xdr:from>
      <xdr:col>1</xdr:col>
      <xdr:colOff>152699</xdr:colOff>
      <xdr:row>37</xdr:row>
      <xdr:rowOff>135574</xdr:rowOff>
    </xdr:from>
    <xdr:to>
      <xdr:col>3</xdr:col>
      <xdr:colOff>748999</xdr:colOff>
      <xdr:row>40</xdr:row>
      <xdr:rowOff>123124</xdr:rowOff>
    </xdr:to>
    <xdr:sp macro="" textlink="">
      <xdr:nvSpPr>
        <xdr:cNvPr id="16" name="Retângulo: Cantos Arredondados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86ACC48-4CE4-486C-82F9-76854E49F14B}"/>
            </a:ext>
          </a:extLst>
        </xdr:cNvPr>
        <xdr:cNvSpPr/>
      </xdr:nvSpPr>
      <xdr:spPr>
        <a:xfrm>
          <a:off x="400349" y="7184074"/>
          <a:ext cx="2361600" cy="540000"/>
        </a:xfrm>
        <a:prstGeom prst="roundRect">
          <a:avLst/>
        </a:prstGeom>
        <a:solidFill>
          <a:srgbClr val="17324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+mj-lt"/>
            </a:rPr>
            <a:t>BENS E DIREITOS</a:t>
          </a:r>
        </a:p>
      </xdr:txBody>
    </xdr:sp>
    <xdr:clientData/>
  </xdr:twoCellAnchor>
  <xdr:twoCellAnchor editAs="oneCell">
    <xdr:from>
      <xdr:col>3</xdr:col>
      <xdr:colOff>861733</xdr:colOff>
      <xdr:row>37</xdr:row>
      <xdr:rowOff>135574</xdr:rowOff>
    </xdr:from>
    <xdr:to>
      <xdr:col>6</xdr:col>
      <xdr:colOff>588083</xdr:colOff>
      <xdr:row>40</xdr:row>
      <xdr:rowOff>123124</xdr:rowOff>
    </xdr:to>
    <xdr:sp macro="" textlink="">
      <xdr:nvSpPr>
        <xdr:cNvPr id="17" name="Retângulo: Cantos Arredondados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98AEAD7-9B18-44C2-BECA-AF0EF3CB0AA0}"/>
            </a:ext>
          </a:extLst>
        </xdr:cNvPr>
        <xdr:cNvSpPr/>
      </xdr:nvSpPr>
      <xdr:spPr>
        <a:xfrm>
          <a:off x="2884208" y="7184074"/>
          <a:ext cx="2374300" cy="540000"/>
        </a:xfrm>
        <a:prstGeom prst="roundRect">
          <a:avLst/>
        </a:prstGeom>
        <a:solidFill>
          <a:srgbClr val="17324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+mj-lt"/>
            </a:rPr>
            <a:t>DOCUMENTOS</a:t>
          </a:r>
        </a:p>
      </xdr:txBody>
    </xdr:sp>
    <xdr:clientData/>
  </xdr:twoCellAnchor>
  <xdr:twoCellAnchor editAs="oneCell">
    <xdr:from>
      <xdr:col>1</xdr:col>
      <xdr:colOff>152400</xdr:colOff>
      <xdr:row>15</xdr:row>
      <xdr:rowOff>123826</xdr:rowOff>
    </xdr:from>
    <xdr:to>
      <xdr:col>3</xdr:col>
      <xdr:colOff>556625</xdr:colOff>
      <xdr:row>16</xdr:row>
      <xdr:rowOff>148813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D67C4034-7CAB-45FF-B914-F65F8699002B}"/>
            </a:ext>
          </a:extLst>
        </xdr:cNvPr>
        <xdr:cNvSpPr txBox="1"/>
      </xdr:nvSpPr>
      <xdr:spPr>
        <a:xfrm>
          <a:off x="400050" y="2835276"/>
          <a:ext cx="2169525" cy="2599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>
              <a:solidFill>
                <a:srgbClr val="17324D"/>
              </a:solidFill>
              <a:latin typeface="+mj-lt"/>
            </a:rPr>
            <a:t>VISÃO GERAL</a:t>
          </a:r>
        </a:p>
      </xdr:txBody>
    </xdr:sp>
    <xdr:clientData/>
  </xdr:twoCellAnchor>
  <xdr:twoCellAnchor editAs="oneCell">
    <xdr:from>
      <xdr:col>6</xdr:col>
      <xdr:colOff>695345</xdr:colOff>
      <xdr:row>33</xdr:row>
      <xdr:rowOff>160292</xdr:rowOff>
    </xdr:from>
    <xdr:to>
      <xdr:col>9</xdr:col>
      <xdr:colOff>402645</xdr:colOff>
      <xdr:row>36</xdr:row>
      <xdr:rowOff>151016</xdr:rowOff>
    </xdr:to>
    <xdr:sp macro="" textlink="">
      <xdr:nvSpPr>
        <xdr:cNvPr id="19" name="Retângulo: Cantos Arredondados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9A41A81-34DF-432D-A13C-C376F26EAE7A}"/>
            </a:ext>
          </a:extLst>
        </xdr:cNvPr>
        <xdr:cNvSpPr/>
      </xdr:nvSpPr>
      <xdr:spPr>
        <a:xfrm>
          <a:off x="5368945" y="6488067"/>
          <a:ext cx="2355250" cy="543175"/>
        </a:xfrm>
        <a:prstGeom prst="roundRect">
          <a:avLst/>
        </a:prstGeom>
        <a:solidFill>
          <a:srgbClr val="17324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+mj-lt"/>
            </a:rPr>
            <a:t>RENDIMENTOS</a:t>
          </a:r>
        </a:p>
      </xdr:txBody>
    </xdr:sp>
    <xdr:clientData/>
  </xdr:twoCellAnchor>
  <xdr:twoCellAnchor editAs="oneCell">
    <xdr:from>
      <xdr:col>6</xdr:col>
      <xdr:colOff>695345</xdr:colOff>
      <xdr:row>37</xdr:row>
      <xdr:rowOff>135574</xdr:rowOff>
    </xdr:from>
    <xdr:to>
      <xdr:col>9</xdr:col>
      <xdr:colOff>402645</xdr:colOff>
      <xdr:row>40</xdr:row>
      <xdr:rowOff>123124</xdr:rowOff>
    </xdr:to>
    <xdr:sp macro="" textlink="">
      <xdr:nvSpPr>
        <xdr:cNvPr id="20" name="Retângulo: Cantos Arredondados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AA772E8-04FD-4742-B9B6-BD37A242EC34}"/>
            </a:ext>
          </a:extLst>
        </xdr:cNvPr>
        <xdr:cNvSpPr/>
      </xdr:nvSpPr>
      <xdr:spPr>
        <a:xfrm>
          <a:off x="5368945" y="7184074"/>
          <a:ext cx="2355250" cy="540000"/>
        </a:xfrm>
        <a:prstGeom prst="roundRect">
          <a:avLst/>
        </a:prstGeom>
        <a:solidFill>
          <a:srgbClr val="17324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+mj-lt"/>
            </a:rPr>
            <a:t>RESUMO</a:t>
          </a:r>
        </a:p>
      </xdr:txBody>
    </xdr:sp>
    <xdr:clientData/>
  </xdr:twoCellAnchor>
  <xdr:twoCellAnchor>
    <xdr:from>
      <xdr:col>9</xdr:col>
      <xdr:colOff>526062</xdr:colOff>
      <xdr:row>33</xdr:row>
      <xdr:rowOff>160293</xdr:rowOff>
    </xdr:from>
    <xdr:to>
      <xdr:col>12</xdr:col>
      <xdr:colOff>217487</xdr:colOff>
      <xdr:row>36</xdr:row>
      <xdr:rowOff>157368</xdr:rowOff>
    </xdr:to>
    <xdr:sp macro="" textlink="">
      <xdr:nvSpPr>
        <xdr:cNvPr id="21" name="Retângulo: Cantos Arredondados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D4939BF-F0D6-46FA-8B70-3D2C0245EF8A}"/>
            </a:ext>
          </a:extLst>
        </xdr:cNvPr>
        <xdr:cNvSpPr/>
      </xdr:nvSpPr>
      <xdr:spPr>
        <a:xfrm>
          <a:off x="7857137" y="6488068"/>
          <a:ext cx="2355250" cy="540000"/>
        </a:xfrm>
        <a:prstGeom prst="roundRect">
          <a:avLst/>
        </a:prstGeom>
        <a:solidFill>
          <a:srgbClr val="17324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+mj-lt"/>
            </a:rPr>
            <a:t>PAGAMENTOS</a:t>
          </a:r>
        </a:p>
      </xdr:txBody>
    </xdr:sp>
    <xdr:clientData/>
  </xdr:twoCellAnchor>
  <xdr:twoCellAnchor editAs="oneCell">
    <xdr:from>
      <xdr:col>9</xdr:col>
      <xdr:colOff>526062</xdr:colOff>
      <xdr:row>37</xdr:row>
      <xdr:rowOff>138749</xdr:rowOff>
    </xdr:from>
    <xdr:to>
      <xdr:col>12</xdr:col>
      <xdr:colOff>233362</xdr:colOff>
      <xdr:row>40</xdr:row>
      <xdr:rowOff>119949</xdr:rowOff>
    </xdr:to>
    <xdr:sp macro="" textlink="">
      <xdr:nvSpPr>
        <xdr:cNvPr id="22" name="Retângulo: Cantos Arredondados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DB3AC81-C7C2-4353-BFBB-F39F3449DFA8}"/>
            </a:ext>
          </a:extLst>
        </xdr:cNvPr>
        <xdr:cNvSpPr/>
      </xdr:nvSpPr>
      <xdr:spPr>
        <a:xfrm>
          <a:off x="7857137" y="7190424"/>
          <a:ext cx="2355250" cy="533650"/>
        </a:xfrm>
        <a:prstGeom prst="roundRect">
          <a:avLst/>
        </a:prstGeom>
        <a:solidFill>
          <a:srgbClr val="17324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+mj-lt"/>
            </a:rPr>
            <a:t>RECEITA FEDERAL</a:t>
          </a:r>
        </a:p>
      </xdr:txBody>
    </xdr:sp>
    <xdr:clientData/>
  </xdr:twoCellAnchor>
  <xdr:twoCellAnchor editAs="oneCell">
    <xdr:from>
      <xdr:col>3</xdr:col>
      <xdr:colOff>33867</xdr:colOff>
      <xdr:row>10</xdr:row>
      <xdr:rowOff>12701</xdr:rowOff>
    </xdr:from>
    <xdr:to>
      <xdr:col>5</xdr:col>
      <xdr:colOff>441267</xdr:colOff>
      <xdr:row>11</xdr:row>
      <xdr:rowOff>88489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4C51E175-6223-46FE-8AD3-63D839C42604}"/>
            </a:ext>
          </a:extLst>
        </xdr:cNvPr>
        <xdr:cNvSpPr txBox="1"/>
      </xdr:nvSpPr>
      <xdr:spPr>
        <a:xfrm>
          <a:off x="2049992" y="1819276"/>
          <a:ext cx="2172700" cy="2599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50" b="1">
              <a:solidFill>
                <a:srgbClr val="17324D"/>
              </a:solidFill>
              <a:latin typeface="+mj-lt"/>
            </a:rPr>
            <a:t>ANO-CALENDÁRIO</a:t>
          </a:r>
        </a:p>
      </xdr:txBody>
    </xdr:sp>
    <xdr:clientData/>
  </xdr:twoCellAnchor>
  <xdr:twoCellAnchor editAs="oneCell">
    <xdr:from>
      <xdr:col>7</xdr:col>
      <xdr:colOff>774171</xdr:colOff>
      <xdr:row>10</xdr:row>
      <xdr:rowOff>12701</xdr:rowOff>
    </xdr:from>
    <xdr:to>
      <xdr:col>10</xdr:col>
      <xdr:colOff>308446</xdr:colOff>
      <xdr:row>11</xdr:row>
      <xdr:rowOff>88489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D3CB1A7D-753A-4E6C-AFCE-54710631C8FD}"/>
            </a:ext>
          </a:extLst>
        </xdr:cNvPr>
        <xdr:cNvSpPr txBox="1"/>
      </xdr:nvSpPr>
      <xdr:spPr>
        <a:xfrm>
          <a:off x="6333596" y="1819276"/>
          <a:ext cx="2182225" cy="2599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50" b="1">
              <a:solidFill>
                <a:srgbClr val="17324D"/>
              </a:solidFill>
              <a:latin typeface="+mj-lt"/>
            </a:rPr>
            <a:t>EXERCÍCIO</a:t>
          </a:r>
        </a:p>
      </xdr:txBody>
    </xdr:sp>
    <xdr:clientData/>
  </xdr:twoCellAnchor>
  <xdr:twoCellAnchor>
    <xdr:from>
      <xdr:col>5</xdr:col>
      <xdr:colOff>29500</xdr:colOff>
      <xdr:row>5</xdr:row>
      <xdr:rowOff>76199</xdr:rowOff>
    </xdr:from>
    <xdr:to>
      <xdr:col>9</xdr:col>
      <xdr:colOff>124750</xdr:colOff>
      <xdr:row>7</xdr:row>
      <xdr:rowOff>55558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D7A793AD-9D0B-4DC9-8BA6-C359408B1547}"/>
            </a:ext>
          </a:extLst>
        </xdr:cNvPr>
        <xdr:cNvSpPr txBox="1"/>
      </xdr:nvSpPr>
      <xdr:spPr>
        <a:xfrm>
          <a:off x="3817275" y="981074"/>
          <a:ext cx="3638550" cy="341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100" b="1">
              <a:solidFill>
                <a:schemeClr val="bg1"/>
              </a:solidFill>
              <a:latin typeface="+mj-lt"/>
            </a:rPr>
            <a:t>Seu organizador de informações para o Imposto de Renda</a:t>
          </a:r>
        </a:p>
      </xdr:txBody>
    </xdr:sp>
    <xdr:clientData/>
  </xdr:twoCellAnchor>
  <xdr:twoCellAnchor editAs="oneCell">
    <xdr:from>
      <xdr:col>3</xdr:col>
      <xdr:colOff>558801</xdr:colOff>
      <xdr:row>0</xdr:row>
      <xdr:rowOff>122238</xdr:rowOff>
    </xdr:from>
    <xdr:to>
      <xdr:col>5</xdr:col>
      <xdr:colOff>86536</xdr:colOff>
      <xdr:row>6</xdr:row>
      <xdr:rowOff>73024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5A155E8D-43A7-4820-813F-83F9D92CB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1276" y="125413"/>
          <a:ext cx="1293035" cy="1055686"/>
        </a:xfrm>
        <a:prstGeom prst="rect">
          <a:avLst/>
        </a:prstGeom>
      </xdr:spPr>
    </xdr:pic>
    <xdr:clientData/>
  </xdr:twoCellAnchor>
  <xdr:twoCellAnchor>
    <xdr:from>
      <xdr:col>5</xdr:col>
      <xdr:colOff>29500</xdr:colOff>
      <xdr:row>1</xdr:row>
      <xdr:rowOff>66675</xdr:rowOff>
    </xdr:from>
    <xdr:to>
      <xdr:col>9</xdr:col>
      <xdr:colOff>596900</xdr:colOff>
      <xdr:row>5</xdr:row>
      <xdr:rowOff>144461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05D8C161-BA20-4790-B7BF-E155C51FBEF7}"/>
            </a:ext>
          </a:extLst>
        </xdr:cNvPr>
        <xdr:cNvSpPr/>
      </xdr:nvSpPr>
      <xdr:spPr>
        <a:xfrm>
          <a:off x="3817275" y="244475"/>
          <a:ext cx="4117050" cy="80168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6000" b="1">
              <a:solidFill>
                <a:srgbClr val="F3F7F8"/>
              </a:solidFill>
              <a:latin typeface="+mj-lt"/>
            </a:rPr>
            <a:t>IR</a:t>
          </a:r>
          <a:r>
            <a:rPr lang="pt-BR" sz="2400" b="1">
              <a:solidFill>
                <a:srgbClr val="F3F7F8"/>
              </a:solidFill>
              <a:latin typeface="+mj-lt"/>
            </a:rPr>
            <a:t> </a:t>
          </a:r>
          <a:r>
            <a:rPr lang="pt-BR" sz="4000" b="1">
              <a:solidFill>
                <a:srgbClr val="168C83"/>
              </a:solidFill>
              <a:latin typeface="+mj-lt"/>
            </a:rPr>
            <a:t>ORGANIZA</a:t>
          </a:r>
        </a:p>
      </xdr:txBody>
    </xdr:sp>
    <xdr:clientData/>
  </xdr:twoCellAnchor>
  <xdr:twoCellAnchor editAs="oneCell">
    <xdr:from>
      <xdr:col>3</xdr:col>
      <xdr:colOff>871258</xdr:colOff>
      <xdr:row>34</xdr:row>
      <xdr:rowOff>0</xdr:rowOff>
    </xdr:from>
    <xdr:to>
      <xdr:col>6</xdr:col>
      <xdr:colOff>572208</xdr:colOff>
      <xdr:row>37</xdr:row>
      <xdr:rowOff>251</xdr:rowOff>
    </xdr:to>
    <xdr:sp macro="" textlink="">
      <xdr:nvSpPr>
        <xdr:cNvPr id="28" name="Retângulo: Cantos Arredondados 2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63C0525-0D39-4AFB-9752-195E445F064F}"/>
            </a:ext>
          </a:extLst>
        </xdr:cNvPr>
        <xdr:cNvSpPr/>
      </xdr:nvSpPr>
      <xdr:spPr>
        <a:xfrm>
          <a:off x="2887383" y="6505575"/>
          <a:ext cx="2348900" cy="552700"/>
        </a:xfrm>
        <a:prstGeom prst="roundRect">
          <a:avLst/>
        </a:prstGeom>
        <a:solidFill>
          <a:srgbClr val="17324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+mj-lt"/>
            </a:rPr>
            <a:t>BANCOS</a:t>
          </a:r>
        </a:p>
      </xdr:txBody>
    </xdr:sp>
    <xdr:clientData/>
  </xdr:twoCellAnchor>
  <xdr:twoCellAnchor editAs="absolute">
    <xdr:from>
      <xdr:col>1</xdr:col>
      <xdr:colOff>311848</xdr:colOff>
      <xdr:row>19</xdr:row>
      <xdr:rowOff>63500</xdr:rowOff>
    </xdr:from>
    <xdr:to>
      <xdr:col>3</xdr:col>
      <xdr:colOff>388048</xdr:colOff>
      <xdr:row>20</xdr:row>
      <xdr:rowOff>88900</xdr:rowOff>
    </xdr:to>
    <xdr:sp macro="" textlink="B45">
      <xdr:nvSpPr>
        <xdr:cNvPr id="30" name="CaixaDeTexto 29">
          <a:extLst>
            <a:ext uri="{FF2B5EF4-FFF2-40B4-BE49-F238E27FC236}">
              <a16:creationId xmlns:a16="http://schemas.microsoft.com/office/drawing/2014/main" id="{9EBF7DD4-43BC-45E1-8232-6466A5889A72}"/>
            </a:ext>
          </a:extLst>
        </xdr:cNvPr>
        <xdr:cNvSpPr txBox="1"/>
      </xdr:nvSpPr>
      <xdr:spPr>
        <a:xfrm>
          <a:off x="559498" y="3613150"/>
          <a:ext cx="184150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57C10BC-CFF2-4C82-8C60-361384B2C694}" type="TxLink">
            <a:rPr lang="en-US" sz="1800" b="1" i="0" u="none" strike="noStrike">
              <a:solidFill>
                <a:srgbClr val="168C83"/>
              </a:solidFill>
              <a:latin typeface="Aptos Narrow"/>
            </a:rPr>
            <a:t>R$ 27.006,30</a:t>
          </a:fld>
          <a:endParaRPr lang="pt-BR" sz="1800" b="1" i="0">
            <a:solidFill>
              <a:srgbClr val="168C83"/>
            </a:solidFill>
          </a:endParaRPr>
        </a:p>
      </xdr:txBody>
    </xdr:sp>
    <xdr:clientData/>
  </xdr:twoCellAnchor>
  <xdr:twoCellAnchor editAs="absolute">
    <xdr:from>
      <xdr:col>4</xdr:col>
      <xdr:colOff>151918</xdr:colOff>
      <xdr:row>19</xdr:row>
      <xdr:rowOff>63500</xdr:rowOff>
    </xdr:from>
    <xdr:to>
      <xdr:col>6</xdr:col>
      <xdr:colOff>228118</xdr:colOff>
      <xdr:row>20</xdr:row>
      <xdr:rowOff>88900</xdr:rowOff>
    </xdr:to>
    <xdr:sp macro="" textlink="B46">
      <xdr:nvSpPr>
        <xdr:cNvPr id="31" name="CaixaDeTexto 30">
          <a:extLst>
            <a:ext uri="{FF2B5EF4-FFF2-40B4-BE49-F238E27FC236}">
              <a16:creationId xmlns:a16="http://schemas.microsoft.com/office/drawing/2014/main" id="{29483237-9FD2-5789-2C95-B526DACBB8C8}"/>
            </a:ext>
          </a:extLst>
        </xdr:cNvPr>
        <xdr:cNvSpPr txBox="1"/>
      </xdr:nvSpPr>
      <xdr:spPr>
        <a:xfrm>
          <a:off x="3047518" y="3613150"/>
          <a:ext cx="184150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A69C8DC-FBB2-4227-9DE5-2A0B7619F913}" type="TxLink">
            <a:rPr lang="en-US" sz="1800" b="1" i="0" u="none" strike="noStrike">
              <a:solidFill>
                <a:srgbClr val="168C83"/>
              </a:solidFill>
              <a:latin typeface="Aptos Narrow"/>
            </a:rPr>
            <a:t>3</a:t>
          </a:fld>
          <a:endParaRPr lang="pt-BR" sz="1800" b="1" i="0">
            <a:solidFill>
              <a:srgbClr val="168C83"/>
            </a:solidFill>
          </a:endParaRPr>
        </a:p>
      </xdr:txBody>
    </xdr:sp>
    <xdr:clientData/>
  </xdr:twoCellAnchor>
  <xdr:twoCellAnchor editAs="absolute">
    <xdr:from>
      <xdr:col>7</xdr:col>
      <xdr:colOff>54536</xdr:colOff>
      <xdr:row>19</xdr:row>
      <xdr:rowOff>63500</xdr:rowOff>
    </xdr:from>
    <xdr:to>
      <xdr:col>9</xdr:col>
      <xdr:colOff>130736</xdr:colOff>
      <xdr:row>20</xdr:row>
      <xdr:rowOff>88900</xdr:rowOff>
    </xdr:to>
    <xdr:sp macro="" textlink="B47">
      <xdr:nvSpPr>
        <xdr:cNvPr id="32" name="CaixaDeTexto 31">
          <a:extLst>
            <a:ext uri="{FF2B5EF4-FFF2-40B4-BE49-F238E27FC236}">
              <a16:creationId xmlns:a16="http://schemas.microsoft.com/office/drawing/2014/main" id="{42D4879D-C954-13B3-B8AA-F929108C971D}"/>
            </a:ext>
          </a:extLst>
        </xdr:cNvPr>
        <xdr:cNvSpPr txBox="1"/>
      </xdr:nvSpPr>
      <xdr:spPr>
        <a:xfrm>
          <a:off x="5598086" y="3613150"/>
          <a:ext cx="184150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7A26F79-C4F7-47CB-AAB4-B569C8BAE1BF}" type="TxLink">
            <a:rPr lang="en-US" sz="1800" b="1" i="0" u="none" strike="noStrike">
              <a:solidFill>
                <a:srgbClr val="168C83"/>
              </a:solidFill>
              <a:latin typeface="Aptos Narrow"/>
            </a:rPr>
            <a:t>8</a:t>
          </a:fld>
          <a:endParaRPr lang="pt-BR" sz="1800" b="1" i="0">
            <a:solidFill>
              <a:srgbClr val="168C83"/>
            </a:solidFill>
          </a:endParaRPr>
        </a:p>
      </xdr:txBody>
    </xdr:sp>
    <xdr:clientData/>
  </xdr:twoCellAnchor>
  <xdr:twoCellAnchor editAs="absolute">
    <xdr:from>
      <xdr:col>10</xdr:col>
      <xdr:colOff>39202</xdr:colOff>
      <xdr:row>19</xdr:row>
      <xdr:rowOff>63500</xdr:rowOff>
    </xdr:from>
    <xdr:to>
      <xdr:col>12</xdr:col>
      <xdr:colOff>115402</xdr:colOff>
      <xdr:row>20</xdr:row>
      <xdr:rowOff>88900</xdr:rowOff>
    </xdr:to>
    <xdr:sp macro="" textlink="B48">
      <xdr:nvSpPr>
        <xdr:cNvPr id="33" name="CaixaDeTexto 32">
          <a:extLst>
            <a:ext uri="{FF2B5EF4-FFF2-40B4-BE49-F238E27FC236}">
              <a16:creationId xmlns:a16="http://schemas.microsoft.com/office/drawing/2014/main" id="{C4E92E6E-5584-6535-DDAF-D05ABC83C345}"/>
            </a:ext>
          </a:extLst>
        </xdr:cNvPr>
        <xdr:cNvSpPr txBox="1"/>
      </xdr:nvSpPr>
      <xdr:spPr>
        <a:xfrm>
          <a:off x="8230702" y="3613150"/>
          <a:ext cx="184150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7A15D9B-7986-4C5F-952A-F376C0F2D50F}" type="TxLink">
            <a:rPr lang="en-US" sz="1800" b="1" i="0" u="none" strike="noStrike">
              <a:solidFill>
                <a:srgbClr val="D97706"/>
              </a:solidFill>
              <a:latin typeface="Aptos Narrow"/>
            </a:rPr>
            <a:t>2</a:t>
          </a:fld>
          <a:endParaRPr lang="pt-BR" sz="1800" b="1" i="0">
            <a:solidFill>
              <a:srgbClr val="D97706"/>
            </a:solidFill>
          </a:endParaRPr>
        </a:p>
      </xdr:txBody>
    </xdr:sp>
    <xdr:clientData/>
  </xdr:twoCellAnchor>
  <xdr:twoCellAnchor editAs="oneCell">
    <xdr:from>
      <xdr:col>6</xdr:col>
      <xdr:colOff>656552</xdr:colOff>
      <xdr:row>45</xdr:row>
      <xdr:rowOff>64141</xdr:rowOff>
    </xdr:from>
    <xdr:to>
      <xdr:col>7</xdr:col>
      <xdr:colOff>0</xdr:colOff>
      <xdr:row>46</xdr:row>
      <xdr:rowOff>11526</xdr:rowOff>
    </xdr:to>
    <xdr:pic>
      <xdr:nvPicPr>
        <xdr:cNvPr id="35" name="Gráfico 3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588C149-56B6-52AC-F631-1342CDD7C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5332461" y="8896414"/>
          <a:ext cx="228600" cy="229608"/>
        </a:xfrm>
        <a:prstGeom prst="rect">
          <a:avLst/>
        </a:prstGeom>
      </xdr:spPr>
    </xdr:pic>
    <xdr:clientData/>
  </xdr:twoCellAnchor>
  <xdr:twoCellAnchor editAs="oneCell">
    <xdr:from>
      <xdr:col>6</xdr:col>
      <xdr:colOff>51313</xdr:colOff>
      <xdr:row>45</xdr:row>
      <xdr:rowOff>31750</xdr:rowOff>
    </xdr:from>
    <xdr:to>
      <xdr:col>6</xdr:col>
      <xdr:colOff>328084</xdr:colOff>
      <xdr:row>46</xdr:row>
      <xdr:rowOff>43057</xdr:rowOff>
    </xdr:to>
    <xdr:pic>
      <xdr:nvPicPr>
        <xdr:cNvPr id="42" name="Imagem 4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5447985-1B50-5D30-EA56-058F107B7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7222" y="8864023"/>
          <a:ext cx="276771" cy="2935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342190</xdr:colOff>
      <xdr:row>3</xdr:row>
      <xdr:rowOff>178788</xdr:rowOff>
    </xdr:from>
    <xdr:to>
      <xdr:col>0</xdr:col>
      <xdr:colOff>1698542</xdr:colOff>
      <xdr:row>8</xdr:row>
      <xdr:rowOff>75488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0D41720-ED4E-4E05-BE63-96C77B0FC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42190" y="788388"/>
          <a:ext cx="1356352" cy="890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134541</xdr:colOff>
      <xdr:row>0</xdr:row>
      <xdr:rowOff>101600</xdr:rowOff>
    </xdr:from>
    <xdr:to>
      <xdr:col>0</xdr:col>
      <xdr:colOff>1963341</xdr:colOff>
      <xdr:row>3</xdr:row>
      <xdr:rowOff>50800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488C60B5-7704-413C-99C8-61EA38D0C434}"/>
            </a:ext>
          </a:extLst>
        </xdr:cNvPr>
        <xdr:cNvSpPr/>
      </xdr:nvSpPr>
      <xdr:spPr>
        <a:xfrm>
          <a:off x="134541" y="101600"/>
          <a:ext cx="1828800" cy="565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chemeClr val="bg1"/>
              </a:solidFill>
              <a:latin typeface="Arial Black" panose="020B0A04020102020204" pitchFamily="34" charset="0"/>
            </a:rPr>
            <a:t>IR</a:t>
          </a:r>
          <a:r>
            <a:rPr lang="pt-BR" sz="1600" b="1" baseline="0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 </a:t>
          </a:r>
          <a:r>
            <a:rPr lang="pt-BR" sz="1600" b="1" baseline="0">
              <a:solidFill>
                <a:srgbClr val="40C9BA"/>
              </a:solidFill>
              <a:latin typeface="Arial Black" panose="020B0A04020102020204" pitchFamily="34" charset="0"/>
            </a:rPr>
            <a:t>ORGANIZA</a:t>
          </a:r>
          <a:endParaRPr lang="pt-BR" sz="1600" b="1">
            <a:solidFill>
              <a:srgbClr val="40C9BA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85329</xdr:colOff>
      <xdr:row>9</xdr:row>
      <xdr:rowOff>139699</xdr:rowOff>
    </xdr:from>
    <xdr:to>
      <xdr:col>0</xdr:col>
      <xdr:colOff>2012554</xdr:colOff>
      <xdr:row>11</xdr:row>
      <xdr:rowOff>93661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289E6C-69C6-429A-98DB-EE8C101BD5AD}"/>
            </a:ext>
          </a:extLst>
        </xdr:cNvPr>
        <xdr:cNvSpPr/>
      </xdr:nvSpPr>
      <xdr:spPr>
        <a:xfrm>
          <a:off x="85329" y="1952624"/>
          <a:ext cx="1927225" cy="369887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/>
            <a:t>INÍCIO</a:t>
          </a:r>
          <a:endParaRPr lang="pt-BR" sz="1800">
            <a:solidFill>
              <a:schemeClr val="lt1"/>
            </a:solidFill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83741</xdr:colOff>
      <xdr:row>11</xdr:row>
      <xdr:rowOff>169862</xdr:rowOff>
    </xdr:from>
    <xdr:to>
      <xdr:col>0</xdr:col>
      <xdr:colOff>2017316</xdr:colOff>
      <xdr:row>13</xdr:row>
      <xdr:rowOff>87312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390E677-DEDB-48BB-A1D0-099FBBAC8D59}"/>
            </a:ext>
          </a:extLst>
        </xdr:cNvPr>
        <xdr:cNvSpPr/>
      </xdr:nvSpPr>
      <xdr:spPr>
        <a:xfrm>
          <a:off x="83741" y="2398712"/>
          <a:ext cx="1933575" cy="40957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17324D"/>
            </a:gs>
            <a:gs pos="100000">
              <a:srgbClr val="168C83"/>
            </a:gs>
            <a:gs pos="50000">
              <a:srgbClr val="215C70">
                <a:alpha val="62353"/>
              </a:srgbClr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/>
            <a:t>TITULAR</a:t>
          </a:r>
          <a:endParaRPr lang="pt-BR" sz="1800">
            <a:solidFill>
              <a:schemeClr val="lt1"/>
            </a:solidFill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85329</xdr:colOff>
      <xdr:row>13</xdr:row>
      <xdr:rowOff>157163</xdr:rowOff>
    </xdr:from>
    <xdr:to>
      <xdr:col>0</xdr:col>
      <xdr:colOff>2012554</xdr:colOff>
      <xdr:row>15</xdr:row>
      <xdr:rowOff>190500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FD0F874-FCE1-49C0-B4F8-E67A0A77606C}"/>
            </a:ext>
          </a:extLst>
        </xdr:cNvPr>
        <xdr:cNvSpPr/>
      </xdr:nvSpPr>
      <xdr:spPr>
        <a:xfrm>
          <a:off x="85329" y="2878138"/>
          <a:ext cx="1927225" cy="427037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BANCOS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257175</xdr:colOff>
      <xdr:row>28</xdr:row>
      <xdr:rowOff>92075</xdr:rowOff>
    </xdr:from>
    <xdr:to>
      <xdr:col>0</xdr:col>
      <xdr:colOff>1816100</xdr:colOff>
      <xdr:row>28</xdr:row>
      <xdr:rowOff>92075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568B4D07-0107-4350-B103-2C375D3B62FB}"/>
            </a:ext>
          </a:extLst>
        </xdr:cNvPr>
        <xdr:cNvCxnSpPr/>
      </xdr:nvCxnSpPr>
      <xdr:spPr>
        <a:xfrm>
          <a:off x="257175" y="6076950"/>
          <a:ext cx="1558925" cy="0"/>
        </a:xfrm>
        <a:prstGeom prst="line">
          <a:avLst/>
        </a:prstGeom>
        <a:ln w="9525">
          <a:solidFill>
            <a:srgbClr val="168C83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29</xdr:row>
      <xdr:rowOff>103187</xdr:rowOff>
    </xdr:from>
    <xdr:to>
      <xdr:col>0</xdr:col>
      <xdr:colOff>1227834</xdr:colOff>
      <xdr:row>30</xdr:row>
      <xdr:rowOff>176213</xdr:rowOff>
    </xdr:to>
    <xdr:pic>
      <xdr:nvPicPr>
        <xdr:cNvPr id="9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29D0D31-7672-4142-A89E-4E383272B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" y="6335712"/>
          <a:ext cx="345184" cy="320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85329</xdr:colOff>
      <xdr:row>16</xdr:row>
      <xdr:rowOff>53976</xdr:rowOff>
    </xdr:from>
    <xdr:to>
      <xdr:col>0</xdr:col>
      <xdr:colOff>2012554</xdr:colOff>
      <xdr:row>18</xdr:row>
      <xdr:rowOff>58738</xdr:rowOff>
    </xdr:to>
    <xdr:sp macro="" textlink="">
      <xdr:nvSpPr>
        <xdr:cNvPr id="18" name="Retângulo: Cantos Arredondados 1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60F272F-4A0E-4435-A0A0-A234BF59A025}"/>
            </a:ext>
          </a:extLst>
        </xdr:cNvPr>
        <xdr:cNvSpPr/>
      </xdr:nvSpPr>
      <xdr:spPr>
        <a:xfrm>
          <a:off x="85329" y="3378201"/>
          <a:ext cx="1927225" cy="423862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RENDIMENTOS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85329</xdr:colOff>
      <xdr:row>18</xdr:row>
      <xdr:rowOff>131764</xdr:rowOff>
    </xdr:from>
    <xdr:to>
      <xdr:col>0</xdr:col>
      <xdr:colOff>2012554</xdr:colOff>
      <xdr:row>20</xdr:row>
      <xdr:rowOff>139701</xdr:rowOff>
    </xdr:to>
    <xdr:sp macro="" textlink="">
      <xdr:nvSpPr>
        <xdr:cNvPr id="21" name="Retângulo: Cantos Arredondados 2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730EDEB-EA53-6F05-DF3C-17B293FC6220}"/>
            </a:ext>
          </a:extLst>
        </xdr:cNvPr>
        <xdr:cNvSpPr/>
      </xdr:nvSpPr>
      <xdr:spPr>
        <a:xfrm>
          <a:off x="85329" y="3875089"/>
          <a:ext cx="1927225" cy="427037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PAGAMENTOS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85329</xdr:colOff>
      <xdr:row>21</xdr:row>
      <xdr:rowOff>2</xdr:rowOff>
    </xdr:from>
    <xdr:to>
      <xdr:col>0</xdr:col>
      <xdr:colOff>2012554</xdr:colOff>
      <xdr:row>22</xdr:row>
      <xdr:rowOff>173039</xdr:rowOff>
    </xdr:to>
    <xdr:sp macro="" textlink="">
      <xdr:nvSpPr>
        <xdr:cNvPr id="22" name="Retângulo: Cantos Arredondados 2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91399B7-F6F2-8CD5-2CE2-103E23E4705D}"/>
            </a:ext>
          </a:extLst>
        </xdr:cNvPr>
        <xdr:cNvSpPr/>
      </xdr:nvSpPr>
      <xdr:spPr>
        <a:xfrm>
          <a:off x="85329" y="4387852"/>
          <a:ext cx="1927225" cy="420687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BENS E DIREITOS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85329</xdr:colOff>
      <xdr:row>23</xdr:row>
      <xdr:rowOff>4765</xdr:rowOff>
    </xdr:from>
    <xdr:to>
      <xdr:col>0</xdr:col>
      <xdr:colOff>2012554</xdr:colOff>
      <xdr:row>25</xdr:row>
      <xdr:rowOff>3177</xdr:rowOff>
    </xdr:to>
    <xdr:sp macro="" textlink="">
      <xdr:nvSpPr>
        <xdr:cNvPr id="23" name="Retângulo: Cantos Arredondados 2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E192E32-C357-400A-BDF5-3267E6A9530B}"/>
            </a:ext>
          </a:extLst>
        </xdr:cNvPr>
        <xdr:cNvSpPr/>
      </xdr:nvSpPr>
      <xdr:spPr>
        <a:xfrm>
          <a:off x="85329" y="4868865"/>
          <a:ext cx="1927225" cy="417512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DOCUMENTOS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85329</xdr:colOff>
      <xdr:row>25</xdr:row>
      <xdr:rowOff>76200</xdr:rowOff>
    </xdr:from>
    <xdr:to>
      <xdr:col>0</xdr:col>
      <xdr:colOff>2012554</xdr:colOff>
      <xdr:row>27</xdr:row>
      <xdr:rowOff>46037</xdr:rowOff>
    </xdr:to>
    <xdr:sp macro="" textlink="">
      <xdr:nvSpPr>
        <xdr:cNvPr id="24" name="Retângulo: Cantos Arredondados 2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B2C255F-9E2D-45E4-9D25-E57522CE6ADB}"/>
            </a:ext>
          </a:extLst>
        </xdr:cNvPr>
        <xdr:cNvSpPr/>
      </xdr:nvSpPr>
      <xdr:spPr>
        <a:xfrm>
          <a:off x="85329" y="5359400"/>
          <a:ext cx="1927225" cy="423862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RESUMO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3</xdr:col>
      <xdr:colOff>1244600</xdr:colOff>
      <xdr:row>43</xdr:row>
      <xdr:rowOff>21767</xdr:rowOff>
    </xdr:from>
    <xdr:to>
      <xdr:col>4</xdr:col>
      <xdr:colOff>22000</xdr:colOff>
      <xdr:row>45</xdr:row>
      <xdr:rowOff>15282</xdr:rowOff>
    </xdr:to>
    <xdr:sp macro="" textlink="">
      <xdr:nvSpPr>
        <xdr:cNvPr id="29" name="Retângulo: Cantos Arredondados 2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9EB49E5-8A8B-4C80-BEBA-6311E2A98493}"/>
            </a:ext>
          </a:extLst>
        </xdr:cNvPr>
        <xdr:cNvSpPr/>
      </xdr:nvSpPr>
      <xdr:spPr>
        <a:xfrm>
          <a:off x="6896100" y="9265553"/>
          <a:ext cx="1798186" cy="356372"/>
        </a:xfrm>
        <a:prstGeom prst="roundRect">
          <a:avLst>
            <a:gd name="adj" fmla="val 33908"/>
          </a:avLst>
        </a:prstGeom>
        <a:gradFill>
          <a:gsLst>
            <a:gs pos="0">
              <a:srgbClr val="215C70"/>
            </a:gs>
            <a:gs pos="100000">
              <a:srgbClr val="168C83"/>
            </a:gs>
          </a:gsLst>
          <a:lin ang="0" scaled="0"/>
        </a:gra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  →</a:t>
          </a:r>
          <a:endParaRPr lang="pt-BR" sz="1100"/>
        </a:p>
      </xdr:txBody>
    </xdr:sp>
    <xdr:clientData/>
  </xdr:twoCellAnchor>
  <xdr:twoCellAnchor editAs="absolute">
    <xdr:from>
      <xdr:col>2</xdr:col>
      <xdr:colOff>2336800</xdr:colOff>
      <xdr:row>43</xdr:row>
      <xdr:rowOff>21767</xdr:rowOff>
    </xdr:from>
    <xdr:to>
      <xdr:col>3</xdr:col>
      <xdr:colOff>1184050</xdr:colOff>
      <xdr:row>45</xdr:row>
      <xdr:rowOff>15282</xdr:rowOff>
    </xdr:to>
    <xdr:sp macro="" textlink="">
      <xdr:nvSpPr>
        <xdr:cNvPr id="30" name="Retângulo: Cantos Arredondados 2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D1D9012-B9AE-1891-63C0-BE7B59299F19}"/>
            </a:ext>
          </a:extLst>
        </xdr:cNvPr>
        <xdr:cNvSpPr/>
      </xdr:nvSpPr>
      <xdr:spPr>
        <a:xfrm>
          <a:off x="5031014" y="9265553"/>
          <a:ext cx="1804536" cy="356372"/>
        </a:xfrm>
        <a:prstGeom prst="roundRect">
          <a:avLst>
            <a:gd name="adj" fmla="val 33908"/>
          </a:avLst>
        </a:prstGeom>
        <a:gradFill>
          <a:gsLst>
            <a:gs pos="0">
              <a:srgbClr val="17324D"/>
            </a:gs>
            <a:gs pos="100000">
              <a:srgbClr val="215C70"/>
            </a:gs>
          </a:gsLst>
          <a:lin ang="0" scaled="0"/>
        </a:gra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←  ANTERIOR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342190</xdr:colOff>
      <xdr:row>3</xdr:row>
      <xdr:rowOff>179494</xdr:rowOff>
    </xdr:from>
    <xdr:to>
      <xdr:col>0</xdr:col>
      <xdr:colOff>1698542</xdr:colOff>
      <xdr:row>8</xdr:row>
      <xdr:rowOff>9872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1CE2CF4-B7D1-4425-B317-94EFBE022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42190" y="794738"/>
          <a:ext cx="1356352" cy="893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134541</xdr:colOff>
      <xdr:row>0</xdr:row>
      <xdr:rowOff>101600</xdr:rowOff>
    </xdr:from>
    <xdr:to>
      <xdr:col>0</xdr:col>
      <xdr:colOff>1963341</xdr:colOff>
      <xdr:row>3</xdr:row>
      <xdr:rowOff>51506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C4DD54C-562A-4A15-9688-911FDFCD04D2}"/>
            </a:ext>
          </a:extLst>
        </xdr:cNvPr>
        <xdr:cNvSpPr/>
      </xdr:nvSpPr>
      <xdr:spPr>
        <a:xfrm>
          <a:off x="134541" y="101600"/>
          <a:ext cx="1828800" cy="565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chemeClr val="bg1"/>
              </a:solidFill>
              <a:latin typeface="Arial Black" panose="020B0A04020102020204" pitchFamily="34" charset="0"/>
            </a:rPr>
            <a:t>IR</a:t>
          </a:r>
          <a:r>
            <a:rPr lang="pt-BR" sz="1600" b="1" baseline="0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 </a:t>
          </a:r>
          <a:r>
            <a:rPr lang="pt-BR" sz="1600" b="1" baseline="0">
              <a:solidFill>
                <a:srgbClr val="40C9BA"/>
              </a:solidFill>
              <a:latin typeface="Arial Black" panose="020B0A04020102020204" pitchFamily="34" charset="0"/>
            </a:rPr>
            <a:t>ORGANIZA</a:t>
          </a:r>
          <a:endParaRPr lang="pt-BR" sz="1600" b="1">
            <a:solidFill>
              <a:srgbClr val="40C9BA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85329</xdr:colOff>
      <xdr:row>9</xdr:row>
      <xdr:rowOff>96660</xdr:rowOff>
    </xdr:from>
    <xdr:to>
      <xdr:col>0</xdr:col>
      <xdr:colOff>2012554</xdr:colOff>
      <xdr:row>11</xdr:row>
      <xdr:rowOff>81666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1E7528-C68E-42A6-AC37-2A26C97E8A71}"/>
            </a:ext>
          </a:extLst>
        </xdr:cNvPr>
        <xdr:cNvSpPr/>
      </xdr:nvSpPr>
      <xdr:spPr>
        <a:xfrm>
          <a:off x="85329" y="1962149"/>
          <a:ext cx="1927225" cy="373062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/>
            <a:t>INÍCIO</a:t>
          </a:r>
          <a:endParaRPr lang="pt-BR" sz="1800">
            <a:solidFill>
              <a:schemeClr val="lt1"/>
            </a:solidFill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83741</xdr:colOff>
      <xdr:row>11</xdr:row>
      <xdr:rowOff>159984</xdr:rowOff>
    </xdr:from>
    <xdr:to>
      <xdr:col>0</xdr:col>
      <xdr:colOff>2017316</xdr:colOff>
      <xdr:row>13</xdr:row>
      <xdr:rowOff>173390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E47B4F2-A354-4515-9CD0-BA92514A4EDC}"/>
            </a:ext>
          </a:extLst>
        </xdr:cNvPr>
        <xdr:cNvSpPr/>
      </xdr:nvSpPr>
      <xdr:spPr>
        <a:xfrm>
          <a:off x="83741" y="2411412"/>
          <a:ext cx="1933575" cy="4127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+mn-lt"/>
              <a:ea typeface="+mn-ea"/>
              <a:cs typeface="+mn-cs"/>
            </a:rPr>
            <a:t>TITULAR</a:t>
          </a:r>
        </a:p>
      </xdr:txBody>
    </xdr:sp>
    <xdr:clientData/>
  </xdr:twoCellAnchor>
  <xdr:twoCellAnchor editAs="absolute">
    <xdr:from>
      <xdr:col>0</xdr:col>
      <xdr:colOff>85329</xdr:colOff>
      <xdr:row>14</xdr:row>
      <xdr:rowOff>31574</xdr:rowOff>
    </xdr:from>
    <xdr:to>
      <xdr:col>0</xdr:col>
      <xdr:colOff>2012554</xdr:colOff>
      <xdr:row>16</xdr:row>
      <xdr:rowOff>39511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98742E6-0E08-496B-B241-20B0BEE467F5}"/>
            </a:ext>
          </a:extLst>
        </xdr:cNvPr>
        <xdr:cNvSpPr/>
      </xdr:nvSpPr>
      <xdr:spPr>
        <a:xfrm>
          <a:off x="85329" y="2894013"/>
          <a:ext cx="1927225" cy="427037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17324D"/>
            </a:gs>
            <a:gs pos="100000">
              <a:srgbClr val="168C83"/>
            </a:gs>
            <a:gs pos="50000">
              <a:srgbClr val="215C70">
                <a:alpha val="62353"/>
              </a:srgbClr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+mn-lt"/>
              <a:ea typeface="+mn-ea"/>
              <a:cs typeface="+mn-cs"/>
            </a:rPr>
            <a:t>BANCOS</a:t>
          </a:r>
        </a:p>
      </xdr:txBody>
    </xdr:sp>
    <xdr:clientData/>
  </xdr:twoCellAnchor>
  <xdr:twoCellAnchor editAs="absolute">
    <xdr:from>
      <xdr:col>0</xdr:col>
      <xdr:colOff>257175</xdr:colOff>
      <xdr:row>29</xdr:row>
      <xdr:rowOff>123120</xdr:rowOff>
    </xdr:from>
    <xdr:to>
      <xdr:col>0</xdr:col>
      <xdr:colOff>1816100</xdr:colOff>
      <xdr:row>29</xdr:row>
      <xdr:rowOff>123120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95306697-823B-4450-A0D1-D32E913F5953}"/>
            </a:ext>
          </a:extLst>
        </xdr:cNvPr>
        <xdr:cNvCxnSpPr/>
      </xdr:nvCxnSpPr>
      <xdr:spPr>
        <a:xfrm>
          <a:off x="257175" y="6099175"/>
          <a:ext cx="1558925" cy="0"/>
        </a:xfrm>
        <a:prstGeom prst="line">
          <a:avLst/>
        </a:prstGeom>
        <a:ln w="9525">
          <a:solidFill>
            <a:srgbClr val="168C83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30</xdr:row>
      <xdr:rowOff>169509</xdr:rowOff>
    </xdr:from>
    <xdr:to>
      <xdr:col>0</xdr:col>
      <xdr:colOff>1227834</xdr:colOff>
      <xdr:row>32</xdr:row>
      <xdr:rowOff>65441</xdr:rowOff>
    </xdr:to>
    <xdr:pic>
      <xdr:nvPicPr>
        <xdr:cNvPr id="8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1EC1999-2044-45F5-9887-3D8E0E3BA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" y="6357937"/>
          <a:ext cx="345184" cy="320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85329</xdr:colOff>
      <xdr:row>16</xdr:row>
      <xdr:rowOff>112537</xdr:rowOff>
    </xdr:from>
    <xdr:to>
      <xdr:col>0</xdr:col>
      <xdr:colOff>2012554</xdr:colOff>
      <xdr:row>18</xdr:row>
      <xdr:rowOff>113772</xdr:rowOff>
    </xdr:to>
    <xdr:sp macro="" textlink="">
      <xdr:nvSpPr>
        <xdr:cNvPr id="9" name="Retângulo: Cantos Arredondado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2E2ED04-620D-4C8D-ABF5-100F17B3AF19}"/>
            </a:ext>
          </a:extLst>
        </xdr:cNvPr>
        <xdr:cNvSpPr/>
      </xdr:nvSpPr>
      <xdr:spPr>
        <a:xfrm>
          <a:off x="85329" y="3394076"/>
          <a:ext cx="1927225" cy="423862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RENDIMENTOS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85329</xdr:colOff>
      <xdr:row>18</xdr:row>
      <xdr:rowOff>186798</xdr:rowOff>
    </xdr:from>
    <xdr:to>
      <xdr:col>0</xdr:col>
      <xdr:colOff>2012554</xdr:colOff>
      <xdr:row>20</xdr:row>
      <xdr:rowOff>194734</xdr:rowOff>
    </xdr:to>
    <xdr:sp macro="" textlink="">
      <xdr:nvSpPr>
        <xdr:cNvPr id="10" name="Retângulo: Cantos Arredondado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16203B8-774E-41F0-B270-83B8C99412D2}"/>
            </a:ext>
          </a:extLst>
        </xdr:cNvPr>
        <xdr:cNvSpPr/>
      </xdr:nvSpPr>
      <xdr:spPr>
        <a:xfrm>
          <a:off x="85329" y="3890964"/>
          <a:ext cx="1927225" cy="427037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PAGAMENTOS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85329</xdr:colOff>
      <xdr:row>21</xdr:row>
      <xdr:rowOff>52919</xdr:rowOff>
    </xdr:from>
    <xdr:to>
      <xdr:col>0</xdr:col>
      <xdr:colOff>2012554</xdr:colOff>
      <xdr:row>23</xdr:row>
      <xdr:rowOff>53800</xdr:rowOff>
    </xdr:to>
    <xdr:sp macro="" textlink="">
      <xdr:nvSpPr>
        <xdr:cNvPr id="11" name="Retângulo: Cantos Arredondado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4B0E60B-9A0A-4093-8945-1F29F6B98560}"/>
            </a:ext>
          </a:extLst>
        </xdr:cNvPr>
        <xdr:cNvSpPr/>
      </xdr:nvSpPr>
      <xdr:spPr>
        <a:xfrm>
          <a:off x="85329" y="4387852"/>
          <a:ext cx="1927225" cy="420687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BENS E DIREITOS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85329</xdr:colOff>
      <xdr:row>23</xdr:row>
      <xdr:rowOff>133176</xdr:rowOff>
    </xdr:from>
    <xdr:to>
      <xdr:col>0</xdr:col>
      <xdr:colOff>2012554</xdr:colOff>
      <xdr:row>25</xdr:row>
      <xdr:rowOff>179566</xdr:rowOff>
    </xdr:to>
    <xdr:sp macro="" textlink="">
      <xdr:nvSpPr>
        <xdr:cNvPr id="12" name="Retângulo: Cantos Arredondado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12114E1-E388-4253-868C-BAAE2DEAAA0D}"/>
            </a:ext>
          </a:extLst>
        </xdr:cNvPr>
        <xdr:cNvSpPr/>
      </xdr:nvSpPr>
      <xdr:spPr>
        <a:xfrm>
          <a:off x="85329" y="4887915"/>
          <a:ext cx="1927225" cy="417512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DOCUMENTOS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85329</xdr:colOff>
      <xdr:row>26</xdr:row>
      <xdr:rowOff>40217</xdr:rowOff>
    </xdr:from>
    <xdr:to>
      <xdr:col>0</xdr:col>
      <xdr:colOff>2012554</xdr:colOff>
      <xdr:row>28</xdr:row>
      <xdr:rowOff>42509</xdr:rowOff>
    </xdr:to>
    <xdr:sp macro="" textlink="">
      <xdr:nvSpPr>
        <xdr:cNvPr id="13" name="Retângulo: Cantos Arredondados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91930CD-224F-4AA8-9444-53F4D747BBBD}"/>
            </a:ext>
          </a:extLst>
        </xdr:cNvPr>
        <xdr:cNvSpPr/>
      </xdr:nvSpPr>
      <xdr:spPr>
        <a:xfrm>
          <a:off x="85329" y="5378450"/>
          <a:ext cx="1927225" cy="427037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RESUMO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3</xdr:col>
      <xdr:colOff>1244600</xdr:colOff>
      <xdr:row>49</xdr:row>
      <xdr:rowOff>114312</xdr:rowOff>
    </xdr:from>
    <xdr:to>
      <xdr:col>4</xdr:col>
      <xdr:colOff>22000</xdr:colOff>
      <xdr:row>51</xdr:row>
      <xdr:rowOff>106012</xdr:rowOff>
    </xdr:to>
    <xdr:sp macro="" textlink="">
      <xdr:nvSpPr>
        <xdr:cNvPr id="14" name="Retângulo: Cantos Arredondados 1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34025B7-85F0-4764-9ABD-B3C814D058B1}"/>
            </a:ext>
          </a:extLst>
        </xdr:cNvPr>
        <xdr:cNvSpPr/>
      </xdr:nvSpPr>
      <xdr:spPr>
        <a:xfrm>
          <a:off x="6896100" y="10274312"/>
          <a:ext cx="1797178" cy="358589"/>
        </a:xfrm>
        <a:prstGeom prst="roundRect">
          <a:avLst>
            <a:gd name="adj" fmla="val 33908"/>
          </a:avLst>
        </a:prstGeom>
        <a:gradFill>
          <a:gsLst>
            <a:gs pos="0">
              <a:srgbClr val="215C70"/>
            </a:gs>
            <a:gs pos="100000">
              <a:srgbClr val="168C83"/>
            </a:gs>
          </a:gsLst>
          <a:lin ang="0" scaled="0"/>
        </a:gra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  →</a:t>
          </a:r>
          <a:endParaRPr lang="pt-BR" sz="1100"/>
        </a:p>
      </xdr:txBody>
    </xdr:sp>
    <xdr:clientData/>
  </xdr:twoCellAnchor>
  <xdr:twoCellAnchor editAs="absolute">
    <xdr:from>
      <xdr:col>2</xdr:col>
      <xdr:colOff>2336800</xdr:colOff>
      <xdr:row>49</xdr:row>
      <xdr:rowOff>114312</xdr:rowOff>
    </xdr:from>
    <xdr:to>
      <xdr:col>3</xdr:col>
      <xdr:colOff>1184050</xdr:colOff>
      <xdr:row>51</xdr:row>
      <xdr:rowOff>106012</xdr:rowOff>
    </xdr:to>
    <xdr:sp macro="" textlink="">
      <xdr:nvSpPr>
        <xdr:cNvPr id="15" name="Retângulo: Cantos Arredondado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B7EFCC1-3D5C-4A17-895E-0544EE239552}"/>
            </a:ext>
          </a:extLst>
        </xdr:cNvPr>
        <xdr:cNvSpPr/>
      </xdr:nvSpPr>
      <xdr:spPr>
        <a:xfrm>
          <a:off x="5032022" y="10274312"/>
          <a:ext cx="1803528" cy="358589"/>
        </a:xfrm>
        <a:prstGeom prst="roundRect">
          <a:avLst>
            <a:gd name="adj" fmla="val 33908"/>
          </a:avLst>
        </a:prstGeom>
        <a:gradFill>
          <a:gsLst>
            <a:gs pos="0">
              <a:srgbClr val="17324D"/>
            </a:gs>
            <a:gs pos="100000">
              <a:srgbClr val="215C70"/>
            </a:gs>
          </a:gsLst>
          <a:lin ang="0" scaled="0"/>
        </a:gra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←  ANTERIOR</a:t>
          </a:r>
          <a:endParaRPr lang="pt-BR" sz="1100"/>
        </a:p>
      </xdr:txBody>
    </xdr:sp>
    <xdr:clientData/>
  </xdr:twoCellAnchor>
  <xdr:twoCellAnchor editAs="absolute">
    <xdr:from>
      <xdr:col>2</xdr:col>
      <xdr:colOff>1375846</xdr:colOff>
      <xdr:row>5</xdr:row>
      <xdr:rowOff>43041</xdr:rowOff>
    </xdr:from>
    <xdr:to>
      <xdr:col>3</xdr:col>
      <xdr:colOff>2379568</xdr:colOff>
      <xdr:row>10</xdr:row>
      <xdr:rowOff>1992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BE2A4C3C-3C39-D537-D1FE-BBD599999811}"/>
            </a:ext>
          </a:extLst>
        </xdr:cNvPr>
        <xdr:cNvSpPr/>
      </xdr:nvSpPr>
      <xdr:spPr>
        <a:xfrm>
          <a:off x="4074596" y="1027291"/>
          <a:ext cx="3956472" cy="1046755"/>
        </a:xfrm>
        <a:prstGeom prst="roundRect">
          <a:avLst/>
        </a:prstGeom>
        <a:solidFill>
          <a:srgbClr val="F3F7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b="1">
              <a:solidFill>
                <a:srgbClr val="17324D"/>
              </a:solidFill>
            </a:rPr>
            <a:t>TOTAL DE SALDOS DO ANO-CALENDÁRIO</a:t>
          </a:r>
        </a:p>
        <a:p>
          <a:pPr algn="ctr"/>
          <a:endParaRPr lang="pt-BR">
            <a:solidFill>
              <a:sysClr val="windowText" lastClr="000000"/>
            </a:solidFill>
          </a:endParaRPr>
        </a:p>
        <a:p>
          <a:pPr algn="ctr"/>
          <a:endParaRPr lang="pt-BR">
            <a:solidFill>
              <a:sysClr val="windowText" lastClr="000000"/>
            </a:solidFill>
          </a:endParaRPr>
        </a:p>
        <a:p>
          <a:pPr algn="ctr"/>
          <a:endParaRPr lang="pt-BR" sz="900" b="0">
            <a:solidFill>
              <a:srgbClr val="64748B"/>
            </a:solidFill>
          </a:endParaRPr>
        </a:p>
        <a:p>
          <a:pPr algn="ctr"/>
          <a:r>
            <a:rPr lang="pt-BR" sz="900" b="0">
              <a:solidFill>
                <a:srgbClr val="64748B"/>
              </a:solidFill>
            </a:rPr>
            <a:t>Soma dos saldos bancários cadastrados</a:t>
          </a:r>
        </a:p>
        <a:p>
          <a:pPr algn="l"/>
          <a:endParaRPr lang="pt-BR" sz="1100"/>
        </a:p>
      </xdr:txBody>
    </xdr:sp>
    <xdr:clientData/>
  </xdr:twoCellAnchor>
  <xdr:twoCellAnchor editAs="absolute">
    <xdr:from>
      <xdr:col>2</xdr:col>
      <xdr:colOff>1502833</xdr:colOff>
      <xdr:row>6</xdr:row>
      <xdr:rowOff>206031</xdr:rowOff>
    </xdr:from>
    <xdr:to>
      <xdr:col>3</xdr:col>
      <xdr:colOff>2293056</xdr:colOff>
      <xdr:row>7</xdr:row>
      <xdr:rowOff>172160</xdr:rowOff>
    </xdr:to>
    <xdr:sp macro="" textlink="$F$7">
      <xdr:nvSpPr>
        <xdr:cNvPr id="19" name="CaixaDeTexto 18">
          <a:extLst>
            <a:ext uri="{FF2B5EF4-FFF2-40B4-BE49-F238E27FC236}">
              <a16:creationId xmlns:a16="http://schemas.microsoft.com/office/drawing/2014/main" id="{19239C18-F2F7-F3B0-54F0-22E80A07AA59}"/>
            </a:ext>
          </a:extLst>
        </xdr:cNvPr>
        <xdr:cNvSpPr txBox="1"/>
      </xdr:nvSpPr>
      <xdr:spPr>
        <a:xfrm>
          <a:off x="4201583" y="1374431"/>
          <a:ext cx="3742973" cy="2963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3ECCEB6-E7C1-4EDA-98EC-72EA0F2AF715}" type="TxLink">
            <a:rPr lang="en-US" sz="1200" b="1" i="0" u="none" strike="noStrike">
              <a:solidFill>
                <a:srgbClr val="168C83"/>
              </a:solidFill>
              <a:latin typeface="Aptos Narrow"/>
            </a:rPr>
            <a:pPr algn="ctr"/>
            <a:t>R$ 25.971,35</a:t>
          </a:fld>
          <a:endParaRPr lang="en-US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342190</xdr:colOff>
      <xdr:row>3</xdr:row>
      <xdr:rowOff>179494</xdr:rowOff>
    </xdr:from>
    <xdr:to>
      <xdr:col>0</xdr:col>
      <xdr:colOff>1698542</xdr:colOff>
      <xdr:row>8</xdr:row>
      <xdr:rowOff>155922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F9F49E1-D3E2-4C91-B0BA-3801858CD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42190" y="795444"/>
          <a:ext cx="1356352" cy="8971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134541</xdr:colOff>
      <xdr:row>0</xdr:row>
      <xdr:rowOff>101600</xdr:rowOff>
    </xdr:from>
    <xdr:to>
      <xdr:col>0</xdr:col>
      <xdr:colOff>1963341</xdr:colOff>
      <xdr:row>3</xdr:row>
      <xdr:rowOff>51506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57A47F7-65BA-450F-A71F-A68B67E36855}"/>
            </a:ext>
          </a:extLst>
        </xdr:cNvPr>
        <xdr:cNvSpPr/>
      </xdr:nvSpPr>
      <xdr:spPr>
        <a:xfrm>
          <a:off x="134541" y="101600"/>
          <a:ext cx="1828800" cy="5658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chemeClr val="bg1"/>
              </a:solidFill>
              <a:latin typeface="Arial Black" panose="020B0A04020102020204" pitchFamily="34" charset="0"/>
            </a:rPr>
            <a:t>IR</a:t>
          </a:r>
          <a:r>
            <a:rPr lang="pt-BR" sz="1600" b="1" baseline="0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 </a:t>
          </a:r>
          <a:r>
            <a:rPr lang="pt-BR" sz="1600" b="1" baseline="0">
              <a:solidFill>
                <a:srgbClr val="40C9BA"/>
              </a:solidFill>
              <a:latin typeface="Arial Black" panose="020B0A04020102020204" pitchFamily="34" charset="0"/>
            </a:rPr>
            <a:t>ORGANIZA</a:t>
          </a:r>
          <a:endParaRPr lang="pt-BR" sz="1600" b="1">
            <a:solidFill>
              <a:srgbClr val="40C9BA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85329</xdr:colOff>
      <xdr:row>10</xdr:row>
      <xdr:rowOff>58560</xdr:rowOff>
    </xdr:from>
    <xdr:to>
      <xdr:col>0</xdr:col>
      <xdr:colOff>2012554</xdr:colOff>
      <xdr:row>11</xdr:row>
      <xdr:rowOff>253116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A15FBB2-85D1-498C-AEB1-0A1B39CACA91}"/>
            </a:ext>
          </a:extLst>
        </xdr:cNvPr>
        <xdr:cNvSpPr/>
      </xdr:nvSpPr>
      <xdr:spPr>
        <a:xfrm>
          <a:off x="85329" y="1963560"/>
          <a:ext cx="1927225" cy="378706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/>
            <a:t>INÍCIO</a:t>
          </a:r>
          <a:endParaRPr lang="pt-BR" sz="1800">
            <a:solidFill>
              <a:schemeClr val="lt1"/>
            </a:solidFill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83741</xdr:colOff>
      <xdr:row>12</xdr:row>
      <xdr:rowOff>52034</xdr:rowOff>
    </xdr:from>
    <xdr:to>
      <xdr:col>0</xdr:col>
      <xdr:colOff>2017316</xdr:colOff>
      <xdr:row>13</xdr:row>
      <xdr:rowOff>128940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8810AEB-B1C5-46C4-A42C-3335E4B4777E}"/>
            </a:ext>
          </a:extLst>
        </xdr:cNvPr>
        <xdr:cNvSpPr/>
      </xdr:nvSpPr>
      <xdr:spPr>
        <a:xfrm>
          <a:off x="83741" y="2420584"/>
          <a:ext cx="1933575" cy="407106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+mn-lt"/>
              <a:ea typeface="+mn-ea"/>
              <a:cs typeface="+mn-cs"/>
            </a:rPr>
            <a:t>TITULAR</a:t>
          </a:r>
        </a:p>
      </xdr:txBody>
    </xdr:sp>
    <xdr:clientData/>
  </xdr:twoCellAnchor>
  <xdr:twoCellAnchor editAs="absolute">
    <xdr:from>
      <xdr:col>0</xdr:col>
      <xdr:colOff>85329</xdr:colOff>
      <xdr:row>13</xdr:row>
      <xdr:rowOff>196674</xdr:rowOff>
    </xdr:from>
    <xdr:to>
      <xdr:col>0</xdr:col>
      <xdr:colOff>2012554</xdr:colOff>
      <xdr:row>15</xdr:row>
      <xdr:rowOff>14111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B158201-6CD3-4CAE-AE7A-EB0811E55D36}"/>
            </a:ext>
          </a:extLst>
        </xdr:cNvPr>
        <xdr:cNvSpPr/>
      </xdr:nvSpPr>
      <xdr:spPr>
        <a:xfrm>
          <a:off x="85329" y="2895424"/>
          <a:ext cx="1927225" cy="427037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+mn-lt"/>
              <a:ea typeface="+mn-ea"/>
              <a:cs typeface="+mn-cs"/>
            </a:rPr>
            <a:t>BANCOS</a:t>
          </a:r>
        </a:p>
      </xdr:txBody>
    </xdr:sp>
    <xdr:clientData/>
  </xdr:twoCellAnchor>
  <xdr:twoCellAnchor editAs="absolute">
    <xdr:from>
      <xdr:col>0</xdr:col>
      <xdr:colOff>257175</xdr:colOff>
      <xdr:row>27</xdr:row>
      <xdr:rowOff>129470</xdr:rowOff>
    </xdr:from>
    <xdr:to>
      <xdr:col>0</xdr:col>
      <xdr:colOff>1816100</xdr:colOff>
      <xdr:row>27</xdr:row>
      <xdr:rowOff>129470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7FFDB1EF-A6DA-4E8A-B185-834ECE3AA841}"/>
            </a:ext>
          </a:extLst>
        </xdr:cNvPr>
        <xdr:cNvCxnSpPr/>
      </xdr:nvCxnSpPr>
      <xdr:spPr>
        <a:xfrm>
          <a:off x="257175" y="6079420"/>
          <a:ext cx="1558925" cy="0"/>
        </a:xfrm>
        <a:prstGeom prst="line">
          <a:avLst/>
        </a:prstGeom>
        <a:ln w="9525">
          <a:solidFill>
            <a:srgbClr val="168C83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28</xdr:row>
      <xdr:rowOff>182209</xdr:rowOff>
    </xdr:from>
    <xdr:to>
      <xdr:col>0</xdr:col>
      <xdr:colOff>1227834</xdr:colOff>
      <xdr:row>30</xdr:row>
      <xdr:rowOff>90841</xdr:rowOff>
    </xdr:to>
    <xdr:pic>
      <xdr:nvPicPr>
        <xdr:cNvPr id="8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2CB5466-0D3C-445D-A108-122E3810A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" y="6335359"/>
          <a:ext cx="345184" cy="315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85329</xdr:colOff>
      <xdr:row>15</xdr:row>
      <xdr:rowOff>87137</xdr:rowOff>
    </xdr:from>
    <xdr:to>
      <xdr:col>0</xdr:col>
      <xdr:colOff>2012554</xdr:colOff>
      <xdr:row>17</xdr:row>
      <xdr:rowOff>101072</xdr:rowOff>
    </xdr:to>
    <xdr:sp macro="" textlink="">
      <xdr:nvSpPr>
        <xdr:cNvPr id="9" name="Retângulo: Cantos Arredondado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E31B72D-638D-48C9-B52C-1095EA656754}"/>
            </a:ext>
          </a:extLst>
        </xdr:cNvPr>
        <xdr:cNvSpPr/>
      </xdr:nvSpPr>
      <xdr:spPr>
        <a:xfrm>
          <a:off x="85329" y="3395487"/>
          <a:ext cx="1927225" cy="42033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17324D"/>
            </a:gs>
            <a:gs pos="100000">
              <a:srgbClr val="168C83"/>
            </a:gs>
            <a:gs pos="50000">
              <a:srgbClr val="215C70">
                <a:alpha val="62353"/>
              </a:srgbClr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+mn-lt"/>
              <a:ea typeface="+mn-ea"/>
              <a:cs typeface="+mn-cs"/>
            </a:rPr>
            <a:t>RENDIMENTOS</a:t>
          </a:r>
        </a:p>
      </xdr:txBody>
    </xdr:sp>
    <xdr:clientData/>
  </xdr:twoCellAnchor>
  <xdr:twoCellAnchor editAs="absolute">
    <xdr:from>
      <xdr:col>0</xdr:col>
      <xdr:colOff>85329</xdr:colOff>
      <xdr:row>17</xdr:row>
      <xdr:rowOff>174098</xdr:rowOff>
    </xdr:from>
    <xdr:to>
      <xdr:col>0</xdr:col>
      <xdr:colOff>2012554</xdr:colOff>
      <xdr:row>19</xdr:row>
      <xdr:rowOff>194734</xdr:rowOff>
    </xdr:to>
    <xdr:sp macro="" textlink="">
      <xdr:nvSpPr>
        <xdr:cNvPr id="10" name="Retângulo: Cantos Arredondado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8902796-E8AD-44B9-853D-C88F46C787D5}"/>
            </a:ext>
          </a:extLst>
        </xdr:cNvPr>
        <xdr:cNvSpPr/>
      </xdr:nvSpPr>
      <xdr:spPr>
        <a:xfrm>
          <a:off x="85329" y="3888848"/>
          <a:ext cx="1927225" cy="427036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PAGAMENTOS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85329</xdr:colOff>
      <xdr:row>19</xdr:row>
      <xdr:rowOff>262469</xdr:rowOff>
    </xdr:from>
    <xdr:to>
      <xdr:col>0</xdr:col>
      <xdr:colOff>2012554</xdr:colOff>
      <xdr:row>21</xdr:row>
      <xdr:rowOff>72850</xdr:rowOff>
    </xdr:to>
    <xdr:sp macro="" textlink="">
      <xdr:nvSpPr>
        <xdr:cNvPr id="11" name="Retângulo: Cantos Arredondado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0D0A53D-7BC5-4121-832E-E3565262F362}"/>
            </a:ext>
          </a:extLst>
        </xdr:cNvPr>
        <xdr:cNvSpPr/>
      </xdr:nvSpPr>
      <xdr:spPr>
        <a:xfrm>
          <a:off x="85329" y="4383619"/>
          <a:ext cx="1927225" cy="41998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BENS E DIREITOS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85329</xdr:colOff>
      <xdr:row>21</xdr:row>
      <xdr:rowOff>152226</xdr:rowOff>
    </xdr:from>
    <xdr:to>
      <xdr:col>0</xdr:col>
      <xdr:colOff>2012554</xdr:colOff>
      <xdr:row>23</xdr:row>
      <xdr:rowOff>160516</xdr:rowOff>
    </xdr:to>
    <xdr:sp macro="" textlink="">
      <xdr:nvSpPr>
        <xdr:cNvPr id="12" name="Retângulo: Cantos Arredondado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EACE96B-7AFF-4A08-A1C2-15EA7D3589EC}"/>
            </a:ext>
          </a:extLst>
        </xdr:cNvPr>
        <xdr:cNvSpPr/>
      </xdr:nvSpPr>
      <xdr:spPr>
        <a:xfrm>
          <a:off x="85329" y="4882976"/>
          <a:ext cx="1927225" cy="41469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DOCUMENTOS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85329</xdr:colOff>
      <xdr:row>24</xdr:row>
      <xdr:rowOff>27517</xdr:rowOff>
    </xdr:from>
    <xdr:to>
      <xdr:col>0</xdr:col>
      <xdr:colOff>2012554</xdr:colOff>
      <xdr:row>26</xdr:row>
      <xdr:rowOff>42509</xdr:rowOff>
    </xdr:to>
    <xdr:sp macro="" textlink="">
      <xdr:nvSpPr>
        <xdr:cNvPr id="13" name="Retângulo: Cantos Arredondados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560E55E-1B64-4E49-96D0-667DFA5A3DF0}"/>
            </a:ext>
          </a:extLst>
        </xdr:cNvPr>
        <xdr:cNvSpPr/>
      </xdr:nvSpPr>
      <xdr:spPr>
        <a:xfrm>
          <a:off x="85329" y="5367867"/>
          <a:ext cx="1927225" cy="421392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RESUMO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5</xdr:col>
      <xdr:colOff>774700</xdr:colOff>
      <xdr:row>51</xdr:row>
      <xdr:rowOff>19062</xdr:rowOff>
    </xdr:from>
    <xdr:to>
      <xdr:col>7</xdr:col>
      <xdr:colOff>549050</xdr:colOff>
      <xdr:row>53</xdr:row>
      <xdr:rowOff>10762</xdr:rowOff>
    </xdr:to>
    <xdr:sp macro="" textlink="">
      <xdr:nvSpPr>
        <xdr:cNvPr id="14" name="Retângulo: Cantos Arredondados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645AE15-4AAA-4EDF-821B-CFD998985D66}"/>
            </a:ext>
          </a:extLst>
        </xdr:cNvPr>
        <xdr:cNvSpPr/>
      </xdr:nvSpPr>
      <xdr:spPr>
        <a:xfrm>
          <a:off x="6896100" y="10845812"/>
          <a:ext cx="1800000" cy="360000"/>
        </a:xfrm>
        <a:prstGeom prst="roundRect">
          <a:avLst>
            <a:gd name="adj" fmla="val 33908"/>
          </a:avLst>
        </a:prstGeom>
        <a:gradFill>
          <a:gsLst>
            <a:gs pos="0">
              <a:srgbClr val="215C70"/>
            </a:gs>
            <a:gs pos="100000">
              <a:srgbClr val="168C83"/>
            </a:gs>
          </a:gsLst>
          <a:lin ang="0" scaled="0"/>
        </a:gra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  →</a:t>
          </a:r>
          <a:endParaRPr lang="pt-BR" sz="1100"/>
        </a:p>
      </xdr:txBody>
    </xdr:sp>
    <xdr:clientData/>
  </xdr:twoCellAnchor>
  <xdr:twoCellAnchor editAs="absolute">
    <xdr:from>
      <xdr:col>3</xdr:col>
      <xdr:colOff>1466850</xdr:colOff>
      <xdr:row>51</xdr:row>
      <xdr:rowOff>19062</xdr:rowOff>
    </xdr:from>
    <xdr:to>
      <xdr:col>5</xdr:col>
      <xdr:colOff>714150</xdr:colOff>
      <xdr:row>53</xdr:row>
      <xdr:rowOff>10762</xdr:rowOff>
    </xdr:to>
    <xdr:sp macro="" textlink="">
      <xdr:nvSpPr>
        <xdr:cNvPr id="15" name="Retângulo: Cantos Arredondados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5C74E0D-70FC-44B9-AB95-7AD0E32CDDA0}"/>
            </a:ext>
          </a:extLst>
        </xdr:cNvPr>
        <xdr:cNvSpPr/>
      </xdr:nvSpPr>
      <xdr:spPr>
        <a:xfrm>
          <a:off x="5035550" y="10845812"/>
          <a:ext cx="1800000" cy="360000"/>
        </a:xfrm>
        <a:prstGeom prst="roundRect">
          <a:avLst>
            <a:gd name="adj" fmla="val 33908"/>
          </a:avLst>
        </a:prstGeom>
        <a:gradFill>
          <a:gsLst>
            <a:gs pos="0">
              <a:srgbClr val="17324D"/>
            </a:gs>
            <a:gs pos="100000">
              <a:srgbClr val="215C70"/>
            </a:gs>
          </a:gsLst>
          <a:lin ang="0" scaled="0"/>
        </a:gra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←  ANTERIOR</a:t>
          </a:r>
          <a:endParaRPr lang="pt-BR" sz="1100"/>
        </a:p>
      </xdr:txBody>
    </xdr:sp>
    <xdr:clientData/>
  </xdr:twoCellAnchor>
  <xdr:twoCellAnchor editAs="absolute">
    <xdr:from>
      <xdr:col>2</xdr:col>
      <xdr:colOff>69850</xdr:colOff>
      <xdr:row>5</xdr:row>
      <xdr:rowOff>19050</xdr:rowOff>
    </xdr:from>
    <xdr:to>
      <xdr:col>3</xdr:col>
      <xdr:colOff>1359900</xdr:colOff>
      <xdr:row>9</xdr:row>
      <xdr:rowOff>74450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4A4A5CE2-63EB-8C48-98FB-81642506E652}"/>
            </a:ext>
          </a:extLst>
        </xdr:cNvPr>
        <xdr:cNvSpPr/>
      </xdr:nvSpPr>
      <xdr:spPr>
        <a:xfrm>
          <a:off x="2768600" y="1003300"/>
          <a:ext cx="2160000" cy="792000"/>
        </a:xfrm>
        <a:prstGeom prst="roundRect">
          <a:avLst/>
        </a:prstGeom>
        <a:solidFill>
          <a:srgbClr val="F3F7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108000" rtlCol="0" anchor="t"/>
        <a:lstStyle/>
        <a:p>
          <a:pPr algn="ctr"/>
          <a:r>
            <a:rPr lang="pt-BR" b="1">
              <a:solidFill>
                <a:srgbClr val="17324D"/>
              </a:solidFill>
            </a:rPr>
            <a:t>TOTAL RECEBIDO</a:t>
          </a:r>
          <a:endParaRPr lang="pt-BR" sz="1100" b="1">
            <a:solidFill>
              <a:srgbClr val="17324D"/>
            </a:solidFill>
          </a:endParaRPr>
        </a:p>
      </xdr:txBody>
    </xdr:sp>
    <xdr:clientData/>
  </xdr:twoCellAnchor>
  <xdr:twoCellAnchor editAs="absolute">
    <xdr:from>
      <xdr:col>2</xdr:col>
      <xdr:colOff>228600</xdr:colOff>
      <xdr:row>7</xdr:row>
      <xdr:rowOff>31750</xdr:rowOff>
    </xdr:from>
    <xdr:to>
      <xdr:col>3</xdr:col>
      <xdr:colOff>1200150</xdr:colOff>
      <xdr:row>8</xdr:row>
      <xdr:rowOff>57150</xdr:rowOff>
    </xdr:to>
    <xdr:sp macro="" textlink="J3">
      <xdr:nvSpPr>
        <xdr:cNvPr id="23" name="CaixaDeTexto 22">
          <a:extLst>
            <a:ext uri="{FF2B5EF4-FFF2-40B4-BE49-F238E27FC236}">
              <a16:creationId xmlns:a16="http://schemas.microsoft.com/office/drawing/2014/main" id="{BF08E653-90BF-730D-9701-94C17A0E0191}"/>
            </a:ext>
          </a:extLst>
        </xdr:cNvPr>
        <xdr:cNvSpPr txBox="1"/>
      </xdr:nvSpPr>
      <xdr:spPr>
        <a:xfrm>
          <a:off x="2927350" y="1384300"/>
          <a:ext cx="184150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EC46862-AD3A-46D3-B798-D5B7D504DF60}" type="TxLink">
            <a:rPr lang="en-US" sz="1600" b="1" i="0" u="none" strike="noStrike">
              <a:solidFill>
                <a:srgbClr val="168C83"/>
              </a:solidFill>
              <a:latin typeface="Aptos Narrow"/>
            </a:rPr>
            <a:pPr algn="ctr"/>
            <a:t>R$ 27.006,30</a:t>
          </a:fld>
          <a:endParaRPr lang="pt-BR" sz="1600" b="1" i="0">
            <a:solidFill>
              <a:srgbClr val="168C83"/>
            </a:solidFill>
          </a:endParaRPr>
        </a:p>
      </xdr:txBody>
    </xdr:sp>
    <xdr:clientData/>
  </xdr:twoCellAnchor>
  <xdr:twoCellAnchor editAs="absolute">
    <xdr:from>
      <xdr:col>3</xdr:col>
      <xdr:colOff>1457325</xdr:colOff>
      <xdr:row>5</xdr:row>
      <xdr:rowOff>19050</xdr:rowOff>
    </xdr:from>
    <xdr:to>
      <xdr:col>5</xdr:col>
      <xdr:colOff>1064625</xdr:colOff>
      <xdr:row>9</xdr:row>
      <xdr:rowOff>74450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93AC3D24-9EE7-1A41-FA40-F5DD92BAEA3F}"/>
            </a:ext>
          </a:extLst>
        </xdr:cNvPr>
        <xdr:cNvSpPr/>
      </xdr:nvSpPr>
      <xdr:spPr>
        <a:xfrm>
          <a:off x="5026025" y="1003300"/>
          <a:ext cx="2160000" cy="792000"/>
        </a:xfrm>
        <a:prstGeom prst="roundRect">
          <a:avLst/>
        </a:prstGeom>
        <a:solidFill>
          <a:srgbClr val="F3F7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108000" rtlCol="0" anchor="t"/>
        <a:lstStyle/>
        <a:p>
          <a:pPr marL="0" lvl="0" indent="0" algn="ctr"/>
          <a:r>
            <a:rPr lang="pt-BR" sz="1100" b="1">
              <a:solidFill>
                <a:srgbClr val="17324D"/>
              </a:solidFill>
              <a:latin typeface="+mn-lt"/>
              <a:ea typeface="+mn-ea"/>
              <a:cs typeface="+mn-cs"/>
            </a:rPr>
            <a:t>IMPOSTO RETIDO</a:t>
          </a:r>
        </a:p>
      </xdr:txBody>
    </xdr:sp>
    <xdr:clientData/>
  </xdr:twoCellAnchor>
  <xdr:twoCellAnchor editAs="absolute">
    <xdr:from>
      <xdr:col>4</xdr:col>
      <xdr:colOff>63500</xdr:colOff>
      <xdr:row>7</xdr:row>
      <xdr:rowOff>38100</xdr:rowOff>
    </xdr:from>
    <xdr:to>
      <xdr:col>5</xdr:col>
      <xdr:colOff>946150</xdr:colOff>
      <xdr:row>8</xdr:row>
      <xdr:rowOff>63500</xdr:rowOff>
    </xdr:to>
    <xdr:sp macro="" textlink="J4">
      <xdr:nvSpPr>
        <xdr:cNvPr id="27" name="CaixaDeTexto 26">
          <a:extLst>
            <a:ext uri="{FF2B5EF4-FFF2-40B4-BE49-F238E27FC236}">
              <a16:creationId xmlns:a16="http://schemas.microsoft.com/office/drawing/2014/main" id="{ED5E4716-4AC1-EC7F-A96A-728C4D4FA7D4}"/>
            </a:ext>
          </a:extLst>
        </xdr:cNvPr>
        <xdr:cNvSpPr txBox="1"/>
      </xdr:nvSpPr>
      <xdr:spPr>
        <a:xfrm>
          <a:off x="5226050" y="1390650"/>
          <a:ext cx="184150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705A48C-2A74-4A22-87FD-792B307F748E}" type="TxLink">
            <a:rPr lang="en-US" sz="1600" b="1" i="0" u="none" strike="noStrike">
              <a:solidFill>
                <a:srgbClr val="168C83"/>
              </a:solidFill>
              <a:latin typeface="Aptos Narrow"/>
            </a:rPr>
            <a:pPr algn="ctr"/>
            <a:t>R$ 2.250,00</a:t>
          </a:fld>
          <a:endParaRPr lang="pt-BR" sz="1600" b="1">
            <a:solidFill>
              <a:srgbClr val="168C83"/>
            </a:solidFill>
          </a:endParaRPr>
        </a:p>
      </xdr:txBody>
    </xdr:sp>
    <xdr:clientData/>
  </xdr:twoCellAnchor>
  <xdr:twoCellAnchor editAs="absolute">
    <xdr:from>
      <xdr:col>5</xdr:col>
      <xdr:colOff>1162050</xdr:colOff>
      <xdr:row>5</xdr:row>
      <xdr:rowOff>19050</xdr:rowOff>
    </xdr:from>
    <xdr:to>
      <xdr:col>8</xdr:col>
      <xdr:colOff>642350</xdr:colOff>
      <xdr:row>9</xdr:row>
      <xdr:rowOff>74450</xdr:rowOff>
    </xdr:to>
    <xdr:sp macro="" textlink="">
      <xdr:nvSpPr>
        <xdr:cNvPr id="28" name="Retângulo: Cantos Arredondados 27">
          <a:extLst>
            <a:ext uri="{FF2B5EF4-FFF2-40B4-BE49-F238E27FC236}">
              <a16:creationId xmlns:a16="http://schemas.microsoft.com/office/drawing/2014/main" id="{EBA87815-E6BB-9B63-CC08-BE3202688179}"/>
            </a:ext>
          </a:extLst>
        </xdr:cNvPr>
        <xdr:cNvSpPr/>
      </xdr:nvSpPr>
      <xdr:spPr>
        <a:xfrm>
          <a:off x="7283450" y="1003300"/>
          <a:ext cx="2160000" cy="792000"/>
        </a:xfrm>
        <a:prstGeom prst="roundRect">
          <a:avLst/>
        </a:prstGeom>
        <a:solidFill>
          <a:srgbClr val="F3F7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108000" rIns="90000" rtlCol="0" anchor="t"/>
        <a:lstStyle/>
        <a:p>
          <a:pPr algn="ctr"/>
          <a:r>
            <a:rPr lang="pt-BR" sz="1100" b="1">
              <a:solidFill>
                <a:srgbClr val="17324D"/>
              </a:solidFill>
              <a:latin typeface="+mn-lt"/>
              <a:ea typeface="+mn-ea"/>
              <a:cs typeface="+mn-cs"/>
            </a:rPr>
            <a:t>PENDÊNCIAS</a:t>
          </a:r>
        </a:p>
      </xdr:txBody>
    </xdr:sp>
    <xdr:clientData/>
  </xdr:twoCellAnchor>
  <xdr:twoCellAnchor editAs="absolute">
    <xdr:from>
      <xdr:col>6</xdr:col>
      <xdr:colOff>374650</xdr:colOff>
      <xdr:row>7</xdr:row>
      <xdr:rowOff>44450</xdr:rowOff>
    </xdr:from>
    <xdr:to>
      <xdr:col>8</xdr:col>
      <xdr:colOff>254000</xdr:colOff>
      <xdr:row>8</xdr:row>
      <xdr:rowOff>69850</xdr:rowOff>
    </xdr:to>
    <xdr:sp macro="" textlink="J5">
      <xdr:nvSpPr>
        <xdr:cNvPr id="29" name="CaixaDeTexto 28">
          <a:extLst>
            <a:ext uri="{FF2B5EF4-FFF2-40B4-BE49-F238E27FC236}">
              <a16:creationId xmlns:a16="http://schemas.microsoft.com/office/drawing/2014/main" id="{3EFF0101-8106-1085-9997-6DCFCFDFF5F7}"/>
            </a:ext>
          </a:extLst>
        </xdr:cNvPr>
        <xdr:cNvSpPr txBox="1"/>
      </xdr:nvSpPr>
      <xdr:spPr>
        <a:xfrm>
          <a:off x="7677150" y="1397000"/>
          <a:ext cx="137795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B07C9CC-59A7-4B9A-8A94-567A750C0771}" type="TxLink">
            <a:rPr lang="en-US" sz="1600" b="1" i="0" u="none" strike="noStrike">
              <a:solidFill>
                <a:srgbClr val="D97706"/>
              </a:solidFill>
              <a:latin typeface="Aptos Narrow"/>
            </a:rPr>
            <a:pPr algn="ctr"/>
            <a:t>1</a:t>
          </a:fld>
          <a:endParaRPr lang="pt-BR" sz="1600" b="1">
            <a:solidFill>
              <a:srgbClr val="D97706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342190</xdr:colOff>
      <xdr:row>3</xdr:row>
      <xdr:rowOff>179494</xdr:rowOff>
    </xdr:from>
    <xdr:to>
      <xdr:col>0</xdr:col>
      <xdr:colOff>1698542</xdr:colOff>
      <xdr:row>8</xdr:row>
      <xdr:rowOff>155922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3130F9D-10E6-419B-B976-90D02704F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42190" y="795444"/>
          <a:ext cx="1356352" cy="8971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134541</xdr:colOff>
      <xdr:row>0</xdr:row>
      <xdr:rowOff>101600</xdr:rowOff>
    </xdr:from>
    <xdr:to>
      <xdr:col>0</xdr:col>
      <xdr:colOff>1963341</xdr:colOff>
      <xdr:row>3</xdr:row>
      <xdr:rowOff>51506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A7B872B-95F8-4E41-B741-ED0ECA9F0F2A}"/>
            </a:ext>
          </a:extLst>
        </xdr:cNvPr>
        <xdr:cNvSpPr/>
      </xdr:nvSpPr>
      <xdr:spPr>
        <a:xfrm>
          <a:off x="134541" y="101600"/>
          <a:ext cx="1828800" cy="5658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chemeClr val="bg1"/>
              </a:solidFill>
              <a:latin typeface="Arial Black" panose="020B0A04020102020204" pitchFamily="34" charset="0"/>
            </a:rPr>
            <a:t>IR</a:t>
          </a:r>
          <a:r>
            <a:rPr lang="pt-BR" sz="1600" b="1" baseline="0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 </a:t>
          </a:r>
          <a:r>
            <a:rPr lang="pt-BR" sz="1600" b="1" baseline="0">
              <a:solidFill>
                <a:srgbClr val="40C9BA"/>
              </a:solidFill>
              <a:latin typeface="Arial Black" panose="020B0A04020102020204" pitchFamily="34" charset="0"/>
            </a:rPr>
            <a:t>ORGANIZA</a:t>
          </a:r>
          <a:endParaRPr lang="pt-BR" sz="1600" b="1">
            <a:solidFill>
              <a:srgbClr val="40C9BA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85329</xdr:colOff>
      <xdr:row>10</xdr:row>
      <xdr:rowOff>58560</xdr:rowOff>
    </xdr:from>
    <xdr:to>
      <xdr:col>0</xdr:col>
      <xdr:colOff>2012554</xdr:colOff>
      <xdr:row>11</xdr:row>
      <xdr:rowOff>253116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AEE070E-ADA0-40EA-9991-362F5132EB4A}"/>
            </a:ext>
          </a:extLst>
        </xdr:cNvPr>
        <xdr:cNvSpPr/>
      </xdr:nvSpPr>
      <xdr:spPr>
        <a:xfrm>
          <a:off x="85329" y="1963560"/>
          <a:ext cx="1927225" cy="378706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/>
            <a:t>INÍCIO</a:t>
          </a:r>
          <a:endParaRPr lang="pt-BR" sz="1800">
            <a:solidFill>
              <a:schemeClr val="lt1"/>
            </a:solidFill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83741</xdr:colOff>
      <xdr:row>12</xdr:row>
      <xdr:rowOff>52034</xdr:rowOff>
    </xdr:from>
    <xdr:to>
      <xdr:col>0</xdr:col>
      <xdr:colOff>2017316</xdr:colOff>
      <xdr:row>13</xdr:row>
      <xdr:rowOff>128940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6A079F0-336A-45F7-B340-E26BD9E0EFB6}"/>
            </a:ext>
          </a:extLst>
        </xdr:cNvPr>
        <xdr:cNvSpPr/>
      </xdr:nvSpPr>
      <xdr:spPr>
        <a:xfrm>
          <a:off x="83741" y="2420584"/>
          <a:ext cx="1933575" cy="407106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+mn-lt"/>
              <a:ea typeface="+mn-ea"/>
              <a:cs typeface="+mn-cs"/>
            </a:rPr>
            <a:t>TITULAR</a:t>
          </a:r>
        </a:p>
      </xdr:txBody>
    </xdr:sp>
    <xdr:clientData/>
  </xdr:twoCellAnchor>
  <xdr:twoCellAnchor editAs="absolute">
    <xdr:from>
      <xdr:col>0</xdr:col>
      <xdr:colOff>85329</xdr:colOff>
      <xdr:row>13</xdr:row>
      <xdr:rowOff>196674</xdr:rowOff>
    </xdr:from>
    <xdr:to>
      <xdr:col>0</xdr:col>
      <xdr:colOff>2012554</xdr:colOff>
      <xdr:row>15</xdr:row>
      <xdr:rowOff>14111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8A85260-DC47-4A38-8222-4A34053D5A73}"/>
            </a:ext>
          </a:extLst>
        </xdr:cNvPr>
        <xdr:cNvSpPr/>
      </xdr:nvSpPr>
      <xdr:spPr>
        <a:xfrm>
          <a:off x="85329" y="2895424"/>
          <a:ext cx="1927225" cy="427037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+mn-lt"/>
              <a:ea typeface="+mn-ea"/>
              <a:cs typeface="+mn-cs"/>
            </a:rPr>
            <a:t>BANCOS</a:t>
          </a:r>
        </a:p>
      </xdr:txBody>
    </xdr:sp>
    <xdr:clientData/>
  </xdr:twoCellAnchor>
  <xdr:twoCellAnchor editAs="absolute">
    <xdr:from>
      <xdr:col>0</xdr:col>
      <xdr:colOff>257175</xdr:colOff>
      <xdr:row>28</xdr:row>
      <xdr:rowOff>129470</xdr:rowOff>
    </xdr:from>
    <xdr:to>
      <xdr:col>0</xdr:col>
      <xdr:colOff>1816100</xdr:colOff>
      <xdr:row>28</xdr:row>
      <xdr:rowOff>129470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14409E06-CE91-4DE7-A120-17CB8EC8CD77}"/>
            </a:ext>
          </a:extLst>
        </xdr:cNvPr>
        <xdr:cNvCxnSpPr/>
      </xdr:nvCxnSpPr>
      <xdr:spPr>
        <a:xfrm>
          <a:off x="257175" y="6079420"/>
          <a:ext cx="1558925" cy="0"/>
        </a:xfrm>
        <a:prstGeom prst="line">
          <a:avLst/>
        </a:prstGeom>
        <a:ln w="9525">
          <a:solidFill>
            <a:srgbClr val="168C83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29</xdr:row>
      <xdr:rowOff>182209</xdr:rowOff>
    </xdr:from>
    <xdr:to>
      <xdr:col>0</xdr:col>
      <xdr:colOff>1227834</xdr:colOff>
      <xdr:row>31</xdr:row>
      <xdr:rowOff>90841</xdr:rowOff>
    </xdr:to>
    <xdr:pic>
      <xdr:nvPicPr>
        <xdr:cNvPr id="8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71A928F-CF64-40FC-9BD7-DFE2709B9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" y="6335359"/>
          <a:ext cx="345184" cy="315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85329</xdr:colOff>
      <xdr:row>15</xdr:row>
      <xdr:rowOff>87137</xdr:rowOff>
    </xdr:from>
    <xdr:to>
      <xdr:col>0</xdr:col>
      <xdr:colOff>2012554</xdr:colOff>
      <xdr:row>17</xdr:row>
      <xdr:rowOff>101072</xdr:rowOff>
    </xdr:to>
    <xdr:sp macro="" textlink="">
      <xdr:nvSpPr>
        <xdr:cNvPr id="9" name="Retângulo: Cantos Arredondado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D4F7D6F-3E0A-46C4-88CB-7E64D261F981}"/>
            </a:ext>
          </a:extLst>
        </xdr:cNvPr>
        <xdr:cNvSpPr/>
      </xdr:nvSpPr>
      <xdr:spPr>
        <a:xfrm>
          <a:off x="85329" y="3395487"/>
          <a:ext cx="1927225" cy="42033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+mn-lt"/>
              <a:ea typeface="+mn-ea"/>
              <a:cs typeface="+mn-cs"/>
            </a:rPr>
            <a:t>RENDIMENTOS</a:t>
          </a:r>
        </a:p>
      </xdr:txBody>
    </xdr:sp>
    <xdr:clientData/>
  </xdr:twoCellAnchor>
  <xdr:twoCellAnchor editAs="absolute">
    <xdr:from>
      <xdr:col>0</xdr:col>
      <xdr:colOff>85329</xdr:colOff>
      <xdr:row>17</xdr:row>
      <xdr:rowOff>174098</xdr:rowOff>
    </xdr:from>
    <xdr:to>
      <xdr:col>0</xdr:col>
      <xdr:colOff>2012554</xdr:colOff>
      <xdr:row>19</xdr:row>
      <xdr:rowOff>194734</xdr:rowOff>
    </xdr:to>
    <xdr:sp macro="" textlink="">
      <xdr:nvSpPr>
        <xdr:cNvPr id="10" name="Retângulo: Cantos Arredondado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A790C7D-DF2A-4982-976C-A7FF5BD29844}"/>
            </a:ext>
          </a:extLst>
        </xdr:cNvPr>
        <xdr:cNvSpPr/>
      </xdr:nvSpPr>
      <xdr:spPr>
        <a:xfrm>
          <a:off x="85329" y="3888848"/>
          <a:ext cx="1927225" cy="427036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17324D"/>
            </a:gs>
            <a:gs pos="100000">
              <a:srgbClr val="168C83"/>
            </a:gs>
            <a:gs pos="50000">
              <a:srgbClr val="215C70">
                <a:alpha val="62353"/>
              </a:srgbClr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+mn-lt"/>
              <a:ea typeface="+mn-ea"/>
              <a:cs typeface="+mn-cs"/>
            </a:rPr>
            <a:t>PAGAMENTOS</a:t>
          </a:r>
        </a:p>
      </xdr:txBody>
    </xdr:sp>
    <xdr:clientData/>
  </xdr:twoCellAnchor>
  <xdr:twoCellAnchor editAs="absolute">
    <xdr:from>
      <xdr:col>0</xdr:col>
      <xdr:colOff>85329</xdr:colOff>
      <xdr:row>20</xdr:row>
      <xdr:rowOff>59269</xdr:rowOff>
    </xdr:from>
    <xdr:to>
      <xdr:col>0</xdr:col>
      <xdr:colOff>2012554</xdr:colOff>
      <xdr:row>22</xdr:row>
      <xdr:rowOff>72850</xdr:rowOff>
    </xdr:to>
    <xdr:sp macro="" textlink="">
      <xdr:nvSpPr>
        <xdr:cNvPr id="11" name="Retângulo: Cantos Arredondado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2149409-9831-4701-8D5E-EC5CF34756C0}"/>
            </a:ext>
          </a:extLst>
        </xdr:cNvPr>
        <xdr:cNvSpPr/>
      </xdr:nvSpPr>
      <xdr:spPr>
        <a:xfrm>
          <a:off x="85329" y="4383619"/>
          <a:ext cx="1927225" cy="41998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BENS E DIREITOS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85329</xdr:colOff>
      <xdr:row>22</xdr:row>
      <xdr:rowOff>152226</xdr:rowOff>
    </xdr:from>
    <xdr:to>
      <xdr:col>0</xdr:col>
      <xdr:colOff>2012554</xdr:colOff>
      <xdr:row>24</xdr:row>
      <xdr:rowOff>160516</xdr:rowOff>
    </xdr:to>
    <xdr:sp macro="" textlink="">
      <xdr:nvSpPr>
        <xdr:cNvPr id="12" name="Retângulo: Cantos Arredondado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158713D-63DD-4321-832E-4554811C60F1}"/>
            </a:ext>
          </a:extLst>
        </xdr:cNvPr>
        <xdr:cNvSpPr/>
      </xdr:nvSpPr>
      <xdr:spPr>
        <a:xfrm>
          <a:off x="85329" y="4882976"/>
          <a:ext cx="1927225" cy="41469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DOCUMENTOS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85329</xdr:colOff>
      <xdr:row>25</xdr:row>
      <xdr:rowOff>27517</xdr:rowOff>
    </xdr:from>
    <xdr:to>
      <xdr:col>0</xdr:col>
      <xdr:colOff>2012554</xdr:colOff>
      <xdr:row>27</xdr:row>
      <xdr:rowOff>42509</xdr:rowOff>
    </xdr:to>
    <xdr:sp macro="" textlink="">
      <xdr:nvSpPr>
        <xdr:cNvPr id="13" name="Retângulo: Cantos Arredondados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54FD14A-0155-4F52-A2F9-D5C700B59D36}"/>
            </a:ext>
          </a:extLst>
        </xdr:cNvPr>
        <xdr:cNvSpPr/>
      </xdr:nvSpPr>
      <xdr:spPr>
        <a:xfrm>
          <a:off x="85329" y="5367867"/>
          <a:ext cx="1927225" cy="421392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RESUMO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5</xdr:col>
      <xdr:colOff>774700</xdr:colOff>
      <xdr:row>51</xdr:row>
      <xdr:rowOff>6362</xdr:rowOff>
    </xdr:from>
    <xdr:to>
      <xdr:col>7</xdr:col>
      <xdr:colOff>923700</xdr:colOff>
      <xdr:row>53</xdr:row>
      <xdr:rowOff>784</xdr:rowOff>
    </xdr:to>
    <xdr:sp macro="" textlink="">
      <xdr:nvSpPr>
        <xdr:cNvPr id="14" name="Retângulo: Cantos Arredondados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C045E76-A3E9-43EB-971B-C98932B56AAE}"/>
            </a:ext>
          </a:extLst>
        </xdr:cNvPr>
        <xdr:cNvSpPr/>
      </xdr:nvSpPr>
      <xdr:spPr>
        <a:xfrm>
          <a:off x="6896100" y="10629912"/>
          <a:ext cx="1800000" cy="360000"/>
        </a:xfrm>
        <a:prstGeom prst="roundRect">
          <a:avLst>
            <a:gd name="adj" fmla="val 33908"/>
          </a:avLst>
        </a:prstGeom>
        <a:gradFill>
          <a:gsLst>
            <a:gs pos="0">
              <a:srgbClr val="215C70"/>
            </a:gs>
            <a:gs pos="100000">
              <a:srgbClr val="168C83"/>
            </a:gs>
          </a:gsLst>
          <a:lin ang="0" scaled="0"/>
        </a:gra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  →</a:t>
          </a:r>
          <a:endParaRPr lang="pt-BR" sz="1100"/>
        </a:p>
      </xdr:txBody>
    </xdr:sp>
    <xdr:clientData/>
  </xdr:twoCellAnchor>
  <xdr:twoCellAnchor editAs="absolute">
    <xdr:from>
      <xdr:col>3</xdr:col>
      <xdr:colOff>1466850</xdr:colOff>
      <xdr:row>51</xdr:row>
      <xdr:rowOff>6362</xdr:rowOff>
    </xdr:from>
    <xdr:to>
      <xdr:col>5</xdr:col>
      <xdr:colOff>714150</xdr:colOff>
      <xdr:row>53</xdr:row>
      <xdr:rowOff>784</xdr:rowOff>
    </xdr:to>
    <xdr:sp macro="" textlink="">
      <xdr:nvSpPr>
        <xdr:cNvPr id="15" name="Retângulo: Cantos Arredondados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921F070-758B-4F8A-A897-50D2A410E529}"/>
            </a:ext>
          </a:extLst>
        </xdr:cNvPr>
        <xdr:cNvSpPr/>
      </xdr:nvSpPr>
      <xdr:spPr>
        <a:xfrm>
          <a:off x="5035550" y="10629912"/>
          <a:ext cx="1800000" cy="360000"/>
        </a:xfrm>
        <a:prstGeom prst="roundRect">
          <a:avLst>
            <a:gd name="adj" fmla="val 33908"/>
          </a:avLst>
        </a:prstGeom>
        <a:gradFill>
          <a:gsLst>
            <a:gs pos="0">
              <a:srgbClr val="17324D"/>
            </a:gs>
            <a:gs pos="100000">
              <a:srgbClr val="215C70"/>
            </a:gs>
          </a:gsLst>
          <a:lin ang="0" scaled="0"/>
        </a:gra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←  ANTERIOR</a:t>
          </a:r>
          <a:endParaRPr lang="pt-BR" sz="1100"/>
        </a:p>
      </xdr:txBody>
    </xdr:sp>
    <xdr:clientData/>
  </xdr:twoCellAnchor>
  <xdr:twoCellAnchor editAs="absolute">
    <xdr:from>
      <xdr:col>2</xdr:col>
      <xdr:colOff>69850</xdr:colOff>
      <xdr:row>5</xdr:row>
      <xdr:rowOff>19050</xdr:rowOff>
    </xdr:from>
    <xdr:to>
      <xdr:col>3</xdr:col>
      <xdr:colOff>1359900</xdr:colOff>
      <xdr:row>9</xdr:row>
      <xdr:rowOff>74450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81306812-2B30-40B9-8709-04C35B05C096}"/>
            </a:ext>
          </a:extLst>
        </xdr:cNvPr>
        <xdr:cNvSpPr/>
      </xdr:nvSpPr>
      <xdr:spPr>
        <a:xfrm>
          <a:off x="2768600" y="1003300"/>
          <a:ext cx="2160000" cy="792000"/>
        </a:xfrm>
        <a:prstGeom prst="roundRect">
          <a:avLst/>
        </a:prstGeom>
        <a:solidFill>
          <a:srgbClr val="F3F7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108000" rtlCol="0" anchor="t"/>
        <a:lstStyle/>
        <a:p>
          <a:pPr algn="ctr"/>
          <a:r>
            <a:rPr lang="pt-BR" b="1">
              <a:solidFill>
                <a:srgbClr val="17324D"/>
              </a:solidFill>
            </a:rPr>
            <a:t>TOTAL PAGO</a:t>
          </a:r>
          <a:endParaRPr lang="pt-BR" sz="1100" b="1">
            <a:solidFill>
              <a:srgbClr val="17324D"/>
            </a:solidFill>
          </a:endParaRPr>
        </a:p>
      </xdr:txBody>
    </xdr:sp>
    <xdr:clientData/>
  </xdr:twoCellAnchor>
  <xdr:twoCellAnchor editAs="absolute">
    <xdr:from>
      <xdr:col>2</xdr:col>
      <xdr:colOff>228600</xdr:colOff>
      <xdr:row>7</xdr:row>
      <xdr:rowOff>31750</xdr:rowOff>
    </xdr:from>
    <xdr:to>
      <xdr:col>3</xdr:col>
      <xdr:colOff>1200150</xdr:colOff>
      <xdr:row>8</xdr:row>
      <xdr:rowOff>57150</xdr:rowOff>
    </xdr:to>
    <xdr:sp macro="" textlink="J3">
      <xdr:nvSpPr>
        <xdr:cNvPr id="17" name="CaixaDeTexto 16">
          <a:extLst>
            <a:ext uri="{FF2B5EF4-FFF2-40B4-BE49-F238E27FC236}">
              <a16:creationId xmlns:a16="http://schemas.microsoft.com/office/drawing/2014/main" id="{C301B75C-7564-406A-8490-02A90C4295A1}"/>
            </a:ext>
          </a:extLst>
        </xdr:cNvPr>
        <xdr:cNvSpPr txBox="1"/>
      </xdr:nvSpPr>
      <xdr:spPr>
        <a:xfrm>
          <a:off x="2927350" y="1384300"/>
          <a:ext cx="184150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EC46862-AD3A-46D3-B798-D5B7D504DF60}" type="TxLink">
            <a:rPr lang="en-US" sz="1600" b="1" i="0" u="none" strike="noStrike">
              <a:solidFill>
                <a:srgbClr val="168C83"/>
              </a:solidFill>
              <a:latin typeface="Aptos Narrow"/>
            </a:rPr>
            <a:pPr algn="ctr"/>
            <a:t>R$ 7.570,00</a:t>
          </a:fld>
          <a:endParaRPr lang="pt-BR" sz="1600" b="1" i="0">
            <a:solidFill>
              <a:srgbClr val="168C83"/>
            </a:solidFill>
          </a:endParaRPr>
        </a:p>
      </xdr:txBody>
    </xdr:sp>
    <xdr:clientData/>
  </xdr:twoCellAnchor>
  <xdr:twoCellAnchor editAs="absolute">
    <xdr:from>
      <xdr:col>3</xdr:col>
      <xdr:colOff>1457325</xdr:colOff>
      <xdr:row>5</xdr:row>
      <xdr:rowOff>19050</xdr:rowOff>
    </xdr:from>
    <xdr:to>
      <xdr:col>6</xdr:col>
      <xdr:colOff>258175</xdr:colOff>
      <xdr:row>9</xdr:row>
      <xdr:rowOff>74450</xdr:rowOff>
    </xdr:to>
    <xdr:sp macro="" textlink="">
      <xdr:nvSpPr>
        <xdr:cNvPr id="18" name="Retângulo: Cantos Arredondados 17">
          <a:extLst>
            <a:ext uri="{FF2B5EF4-FFF2-40B4-BE49-F238E27FC236}">
              <a16:creationId xmlns:a16="http://schemas.microsoft.com/office/drawing/2014/main" id="{E9806646-8458-43FA-80E9-90E5A82C10CE}"/>
            </a:ext>
          </a:extLst>
        </xdr:cNvPr>
        <xdr:cNvSpPr/>
      </xdr:nvSpPr>
      <xdr:spPr>
        <a:xfrm>
          <a:off x="5026025" y="1003300"/>
          <a:ext cx="2160000" cy="792000"/>
        </a:xfrm>
        <a:prstGeom prst="roundRect">
          <a:avLst/>
        </a:prstGeom>
        <a:solidFill>
          <a:srgbClr val="F3F7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108000" rtlCol="0" anchor="t"/>
        <a:lstStyle/>
        <a:p>
          <a:pPr marL="0" lvl="0" indent="0" algn="ctr"/>
          <a:r>
            <a:rPr lang="pt-BR" sz="1100" b="1">
              <a:solidFill>
                <a:srgbClr val="17324D"/>
              </a:solidFill>
              <a:latin typeface="+mn-lt"/>
              <a:ea typeface="+mn-ea"/>
              <a:cs typeface="+mn-cs"/>
            </a:rPr>
            <a:t>TOTAL</a:t>
          </a:r>
          <a:r>
            <a:rPr lang="pt-BR" sz="1100" b="1" baseline="0">
              <a:solidFill>
                <a:srgbClr val="17324D"/>
              </a:solidFill>
              <a:latin typeface="+mn-lt"/>
              <a:ea typeface="+mn-ea"/>
              <a:cs typeface="+mn-cs"/>
            </a:rPr>
            <a:t> REEMBOLSADO</a:t>
          </a:r>
          <a:endParaRPr lang="pt-BR" sz="1100" b="1">
            <a:solidFill>
              <a:srgbClr val="17324D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4</xdr:col>
      <xdr:colOff>63500</xdr:colOff>
      <xdr:row>7</xdr:row>
      <xdr:rowOff>38100</xdr:rowOff>
    </xdr:from>
    <xdr:to>
      <xdr:col>6</xdr:col>
      <xdr:colOff>139700</xdr:colOff>
      <xdr:row>8</xdr:row>
      <xdr:rowOff>63500</xdr:rowOff>
    </xdr:to>
    <xdr:sp macro="" textlink="J4">
      <xdr:nvSpPr>
        <xdr:cNvPr id="19" name="CaixaDeTexto 18">
          <a:extLst>
            <a:ext uri="{FF2B5EF4-FFF2-40B4-BE49-F238E27FC236}">
              <a16:creationId xmlns:a16="http://schemas.microsoft.com/office/drawing/2014/main" id="{F4B21104-B356-4E13-AD43-515269687C71}"/>
            </a:ext>
          </a:extLst>
        </xdr:cNvPr>
        <xdr:cNvSpPr txBox="1"/>
      </xdr:nvSpPr>
      <xdr:spPr>
        <a:xfrm>
          <a:off x="5226050" y="1390650"/>
          <a:ext cx="184150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705A48C-2A74-4A22-87FD-792B307F748E}" type="TxLink">
            <a:rPr lang="en-US" sz="1600" b="1" i="0" u="none" strike="noStrike">
              <a:solidFill>
                <a:srgbClr val="168C83"/>
              </a:solidFill>
              <a:latin typeface="Aptos Narrow"/>
            </a:rPr>
            <a:pPr algn="ctr"/>
            <a:t>R$ 850,00</a:t>
          </a:fld>
          <a:endParaRPr lang="pt-BR" sz="1600" b="1">
            <a:solidFill>
              <a:srgbClr val="168C83"/>
            </a:solidFill>
          </a:endParaRPr>
        </a:p>
      </xdr:txBody>
    </xdr:sp>
    <xdr:clientData/>
  </xdr:twoCellAnchor>
  <xdr:twoCellAnchor editAs="absolute">
    <xdr:from>
      <xdr:col>6</xdr:col>
      <xdr:colOff>355600</xdr:colOff>
      <xdr:row>5</xdr:row>
      <xdr:rowOff>19050</xdr:rowOff>
    </xdr:from>
    <xdr:to>
      <xdr:col>8</xdr:col>
      <xdr:colOff>648700</xdr:colOff>
      <xdr:row>9</xdr:row>
      <xdr:rowOff>74450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D2CF0BF7-EED2-4734-912B-DC1BAE50C50D}"/>
            </a:ext>
          </a:extLst>
        </xdr:cNvPr>
        <xdr:cNvSpPr/>
      </xdr:nvSpPr>
      <xdr:spPr>
        <a:xfrm>
          <a:off x="7283450" y="1003300"/>
          <a:ext cx="2160000" cy="792000"/>
        </a:xfrm>
        <a:prstGeom prst="roundRect">
          <a:avLst/>
        </a:prstGeom>
        <a:solidFill>
          <a:srgbClr val="F3F7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108000" rIns="90000" rtlCol="0" anchor="t"/>
        <a:lstStyle/>
        <a:p>
          <a:pPr algn="ctr"/>
          <a:r>
            <a:rPr lang="pt-BR" sz="1100" b="1">
              <a:solidFill>
                <a:srgbClr val="17324D"/>
              </a:solidFill>
              <a:latin typeface="+mn-lt"/>
              <a:ea typeface="+mn-ea"/>
              <a:cs typeface="+mn-cs"/>
            </a:rPr>
            <a:t>PENDÊNCIAS</a:t>
          </a:r>
        </a:p>
      </xdr:txBody>
    </xdr:sp>
    <xdr:clientData/>
  </xdr:twoCellAnchor>
  <xdr:twoCellAnchor editAs="absolute">
    <xdr:from>
      <xdr:col>6</xdr:col>
      <xdr:colOff>749300</xdr:colOff>
      <xdr:row>7</xdr:row>
      <xdr:rowOff>44450</xdr:rowOff>
    </xdr:from>
    <xdr:to>
      <xdr:col>8</xdr:col>
      <xdr:colOff>260350</xdr:colOff>
      <xdr:row>8</xdr:row>
      <xdr:rowOff>69850</xdr:rowOff>
    </xdr:to>
    <xdr:sp macro="" textlink="J5">
      <xdr:nvSpPr>
        <xdr:cNvPr id="21" name="CaixaDeTexto 20">
          <a:extLst>
            <a:ext uri="{FF2B5EF4-FFF2-40B4-BE49-F238E27FC236}">
              <a16:creationId xmlns:a16="http://schemas.microsoft.com/office/drawing/2014/main" id="{EEC485A9-FCE2-41E3-BE99-7DA5D86A9535}"/>
            </a:ext>
          </a:extLst>
        </xdr:cNvPr>
        <xdr:cNvSpPr txBox="1"/>
      </xdr:nvSpPr>
      <xdr:spPr>
        <a:xfrm>
          <a:off x="7677150" y="1397000"/>
          <a:ext cx="137795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B07C9CC-59A7-4B9A-8A94-567A750C0771}" type="TxLink">
            <a:rPr lang="en-US" sz="1600" b="1" i="0" u="none" strike="noStrike">
              <a:solidFill>
                <a:srgbClr val="D97706"/>
              </a:solidFill>
              <a:latin typeface="Aptos Narrow"/>
            </a:rPr>
            <a:pPr algn="ctr"/>
            <a:t>0</a:t>
          </a:fld>
          <a:endParaRPr lang="pt-BR" sz="1600" b="1">
            <a:solidFill>
              <a:srgbClr val="D97706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342190</xdr:colOff>
      <xdr:row>3</xdr:row>
      <xdr:rowOff>179494</xdr:rowOff>
    </xdr:from>
    <xdr:to>
      <xdr:col>0</xdr:col>
      <xdr:colOff>1698542</xdr:colOff>
      <xdr:row>8</xdr:row>
      <xdr:rowOff>155922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89105EC-9FD1-411E-BC86-32C5460FB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42190" y="795444"/>
          <a:ext cx="1356352" cy="8971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134541</xdr:colOff>
      <xdr:row>0</xdr:row>
      <xdr:rowOff>101600</xdr:rowOff>
    </xdr:from>
    <xdr:to>
      <xdr:col>0</xdr:col>
      <xdr:colOff>1963341</xdr:colOff>
      <xdr:row>3</xdr:row>
      <xdr:rowOff>51506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80BC21E-FC28-4911-B90D-0FBA8FDE0571}"/>
            </a:ext>
          </a:extLst>
        </xdr:cNvPr>
        <xdr:cNvSpPr/>
      </xdr:nvSpPr>
      <xdr:spPr>
        <a:xfrm>
          <a:off x="134541" y="101600"/>
          <a:ext cx="1828800" cy="5658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chemeClr val="bg1"/>
              </a:solidFill>
              <a:latin typeface="Arial Black" panose="020B0A04020102020204" pitchFamily="34" charset="0"/>
            </a:rPr>
            <a:t>IR</a:t>
          </a:r>
          <a:r>
            <a:rPr lang="pt-BR" sz="1600" b="1" baseline="0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 </a:t>
          </a:r>
          <a:r>
            <a:rPr lang="pt-BR" sz="1600" b="1" baseline="0">
              <a:solidFill>
                <a:srgbClr val="40C9BA"/>
              </a:solidFill>
              <a:latin typeface="Arial Black" panose="020B0A04020102020204" pitchFamily="34" charset="0"/>
            </a:rPr>
            <a:t>ORGANIZA</a:t>
          </a:r>
          <a:endParaRPr lang="pt-BR" sz="1600" b="1">
            <a:solidFill>
              <a:srgbClr val="40C9BA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85329</xdr:colOff>
      <xdr:row>10</xdr:row>
      <xdr:rowOff>58560</xdr:rowOff>
    </xdr:from>
    <xdr:to>
      <xdr:col>0</xdr:col>
      <xdr:colOff>2012554</xdr:colOff>
      <xdr:row>11</xdr:row>
      <xdr:rowOff>253116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F31057F-35BF-41E3-AA75-A8CDF0A542E0}"/>
            </a:ext>
          </a:extLst>
        </xdr:cNvPr>
        <xdr:cNvSpPr/>
      </xdr:nvSpPr>
      <xdr:spPr>
        <a:xfrm>
          <a:off x="85329" y="1963560"/>
          <a:ext cx="1927225" cy="378706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/>
            <a:t>INÍCIO</a:t>
          </a:r>
          <a:endParaRPr lang="pt-BR" sz="1800">
            <a:solidFill>
              <a:schemeClr val="lt1"/>
            </a:solidFill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83741</xdr:colOff>
      <xdr:row>12</xdr:row>
      <xdr:rowOff>52034</xdr:rowOff>
    </xdr:from>
    <xdr:to>
      <xdr:col>0</xdr:col>
      <xdr:colOff>2017316</xdr:colOff>
      <xdr:row>13</xdr:row>
      <xdr:rowOff>128940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84F80C7-1E36-4DC0-B79E-971F4E2B341B}"/>
            </a:ext>
          </a:extLst>
        </xdr:cNvPr>
        <xdr:cNvSpPr/>
      </xdr:nvSpPr>
      <xdr:spPr>
        <a:xfrm>
          <a:off x="83741" y="2420584"/>
          <a:ext cx="1933575" cy="407106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+mn-lt"/>
              <a:ea typeface="+mn-ea"/>
              <a:cs typeface="+mn-cs"/>
            </a:rPr>
            <a:t>TITULAR</a:t>
          </a:r>
        </a:p>
      </xdr:txBody>
    </xdr:sp>
    <xdr:clientData/>
  </xdr:twoCellAnchor>
  <xdr:twoCellAnchor editAs="absolute">
    <xdr:from>
      <xdr:col>0</xdr:col>
      <xdr:colOff>85329</xdr:colOff>
      <xdr:row>13</xdr:row>
      <xdr:rowOff>196674</xdr:rowOff>
    </xdr:from>
    <xdr:to>
      <xdr:col>0</xdr:col>
      <xdr:colOff>2012554</xdr:colOff>
      <xdr:row>16</xdr:row>
      <xdr:rowOff>14111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0FF7019-42D5-4E80-8260-7579B7B7480D}"/>
            </a:ext>
          </a:extLst>
        </xdr:cNvPr>
        <xdr:cNvSpPr/>
      </xdr:nvSpPr>
      <xdr:spPr>
        <a:xfrm>
          <a:off x="85329" y="2895424"/>
          <a:ext cx="1927225" cy="427037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+mn-lt"/>
              <a:ea typeface="+mn-ea"/>
              <a:cs typeface="+mn-cs"/>
            </a:rPr>
            <a:t>BANCOS</a:t>
          </a:r>
        </a:p>
      </xdr:txBody>
    </xdr:sp>
    <xdr:clientData/>
  </xdr:twoCellAnchor>
  <xdr:twoCellAnchor editAs="absolute">
    <xdr:from>
      <xdr:col>0</xdr:col>
      <xdr:colOff>257175</xdr:colOff>
      <xdr:row>27</xdr:row>
      <xdr:rowOff>129470</xdr:rowOff>
    </xdr:from>
    <xdr:to>
      <xdr:col>0</xdr:col>
      <xdr:colOff>1816100</xdr:colOff>
      <xdr:row>27</xdr:row>
      <xdr:rowOff>129470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2C05020F-02C8-4AA7-9959-9722A832B25F}"/>
            </a:ext>
          </a:extLst>
        </xdr:cNvPr>
        <xdr:cNvCxnSpPr/>
      </xdr:nvCxnSpPr>
      <xdr:spPr>
        <a:xfrm>
          <a:off x="257175" y="6079420"/>
          <a:ext cx="1558925" cy="0"/>
        </a:xfrm>
        <a:prstGeom prst="line">
          <a:avLst/>
        </a:prstGeom>
        <a:ln w="9525">
          <a:solidFill>
            <a:srgbClr val="168C83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28</xdr:row>
      <xdr:rowOff>182209</xdr:rowOff>
    </xdr:from>
    <xdr:to>
      <xdr:col>0</xdr:col>
      <xdr:colOff>1227834</xdr:colOff>
      <xdr:row>30</xdr:row>
      <xdr:rowOff>90841</xdr:rowOff>
    </xdr:to>
    <xdr:pic>
      <xdr:nvPicPr>
        <xdr:cNvPr id="8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0C4CCB4-9117-45D6-815E-C47B0889C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" y="6335359"/>
          <a:ext cx="345184" cy="315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85329</xdr:colOff>
      <xdr:row>16</xdr:row>
      <xdr:rowOff>87137</xdr:rowOff>
    </xdr:from>
    <xdr:to>
      <xdr:col>0</xdr:col>
      <xdr:colOff>2012554</xdr:colOff>
      <xdr:row>17</xdr:row>
      <xdr:rowOff>101072</xdr:rowOff>
    </xdr:to>
    <xdr:sp macro="" textlink="">
      <xdr:nvSpPr>
        <xdr:cNvPr id="9" name="Retângulo: Cantos Arredondado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1E3D92E-6701-4861-8372-B03A90FE077D}"/>
            </a:ext>
          </a:extLst>
        </xdr:cNvPr>
        <xdr:cNvSpPr/>
      </xdr:nvSpPr>
      <xdr:spPr>
        <a:xfrm>
          <a:off x="85329" y="3395487"/>
          <a:ext cx="1927225" cy="42033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+mn-lt"/>
              <a:ea typeface="+mn-ea"/>
              <a:cs typeface="+mn-cs"/>
            </a:rPr>
            <a:t>RENDIMENTOS</a:t>
          </a:r>
        </a:p>
      </xdr:txBody>
    </xdr:sp>
    <xdr:clientData/>
  </xdr:twoCellAnchor>
  <xdr:twoCellAnchor editAs="absolute">
    <xdr:from>
      <xdr:col>0</xdr:col>
      <xdr:colOff>85329</xdr:colOff>
      <xdr:row>17</xdr:row>
      <xdr:rowOff>174098</xdr:rowOff>
    </xdr:from>
    <xdr:to>
      <xdr:col>0</xdr:col>
      <xdr:colOff>2012554</xdr:colOff>
      <xdr:row>18</xdr:row>
      <xdr:rowOff>194734</xdr:rowOff>
    </xdr:to>
    <xdr:sp macro="" textlink="">
      <xdr:nvSpPr>
        <xdr:cNvPr id="10" name="Retângulo: Cantos Arredondado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B2F08EB-7D6F-43C7-A3F7-EFD06B65B102}"/>
            </a:ext>
          </a:extLst>
        </xdr:cNvPr>
        <xdr:cNvSpPr/>
      </xdr:nvSpPr>
      <xdr:spPr>
        <a:xfrm>
          <a:off x="85329" y="3888848"/>
          <a:ext cx="1927225" cy="427036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PAGAMENTOS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85329</xdr:colOff>
      <xdr:row>19</xdr:row>
      <xdr:rowOff>59269</xdr:rowOff>
    </xdr:from>
    <xdr:to>
      <xdr:col>0</xdr:col>
      <xdr:colOff>2012554</xdr:colOff>
      <xdr:row>21</xdr:row>
      <xdr:rowOff>72850</xdr:rowOff>
    </xdr:to>
    <xdr:sp macro="" textlink="">
      <xdr:nvSpPr>
        <xdr:cNvPr id="11" name="Retângulo: Cantos Arredondado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F9F213F-3A6A-47E0-A2A4-020EA310677F}"/>
            </a:ext>
          </a:extLst>
        </xdr:cNvPr>
        <xdr:cNvSpPr/>
      </xdr:nvSpPr>
      <xdr:spPr>
        <a:xfrm>
          <a:off x="85329" y="4383619"/>
          <a:ext cx="1927225" cy="419981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17324D"/>
            </a:gs>
            <a:gs pos="100000">
              <a:srgbClr val="168C83"/>
            </a:gs>
            <a:gs pos="50000">
              <a:srgbClr val="215C70">
                <a:alpha val="62353"/>
              </a:srgbClr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+mn-lt"/>
              <a:ea typeface="+mn-ea"/>
              <a:cs typeface="+mn-cs"/>
            </a:rPr>
            <a:t>BENS E DIREITOS</a:t>
          </a:r>
        </a:p>
      </xdr:txBody>
    </xdr:sp>
    <xdr:clientData/>
  </xdr:twoCellAnchor>
  <xdr:twoCellAnchor editAs="absolute">
    <xdr:from>
      <xdr:col>0</xdr:col>
      <xdr:colOff>85329</xdr:colOff>
      <xdr:row>21</xdr:row>
      <xdr:rowOff>152226</xdr:rowOff>
    </xdr:from>
    <xdr:to>
      <xdr:col>0</xdr:col>
      <xdr:colOff>2012554</xdr:colOff>
      <xdr:row>23</xdr:row>
      <xdr:rowOff>160516</xdr:rowOff>
    </xdr:to>
    <xdr:sp macro="" textlink="">
      <xdr:nvSpPr>
        <xdr:cNvPr id="12" name="Retângulo: Cantos Arredondado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5023FCE-5E24-47AC-BDB9-9DCA24DBC3FF}"/>
            </a:ext>
          </a:extLst>
        </xdr:cNvPr>
        <xdr:cNvSpPr/>
      </xdr:nvSpPr>
      <xdr:spPr>
        <a:xfrm>
          <a:off x="85329" y="4882976"/>
          <a:ext cx="1927225" cy="41469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DOCUMENTOS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85329</xdr:colOff>
      <xdr:row>24</xdr:row>
      <xdr:rowOff>27517</xdr:rowOff>
    </xdr:from>
    <xdr:to>
      <xdr:col>0</xdr:col>
      <xdr:colOff>2012554</xdr:colOff>
      <xdr:row>26</xdr:row>
      <xdr:rowOff>42509</xdr:rowOff>
    </xdr:to>
    <xdr:sp macro="" textlink="">
      <xdr:nvSpPr>
        <xdr:cNvPr id="13" name="Retângulo: Cantos Arredondados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2A47677-25DA-4F66-80ED-7A16DA452E88}"/>
            </a:ext>
          </a:extLst>
        </xdr:cNvPr>
        <xdr:cNvSpPr/>
      </xdr:nvSpPr>
      <xdr:spPr>
        <a:xfrm>
          <a:off x="85329" y="5367867"/>
          <a:ext cx="1927225" cy="421392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RESUMO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5</xdr:col>
      <xdr:colOff>774700</xdr:colOff>
      <xdr:row>50</xdr:row>
      <xdr:rowOff>177812</xdr:rowOff>
    </xdr:from>
    <xdr:to>
      <xdr:col>7</xdr:col>
      <xdr:colOff>727757</xdr:colOff>
      <xdr:row>52</xdr:row>
      <xdr:rowOff>150462</xdr:rowOff>
    </xdr:to>
    <xdr:sp macro="" textlink="">
      <xdr:nvSpPr>
        <xdr:cNvPr id="14" name="Retângulo: Cantos Arredondados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814E34D-4F30-4B1F-A180-0DCAE49296E7}"/>
            </a:ext>
          </a:extLst>
        </xdr:cNvPr>
        <xdr:cNvSpPr/>
      </xdr:nvSpPr>
      <xdr:spPr>
        <a:xfrm>
          <a:off x="6896100" y="10801362"/>
          <a:ext cx="1800000" cy="360000"/>
        </a:xfrm>
        <a:prstGeom prst="roundRect">
          <a:avLst>
            <a:gd name="adj" fmla="val 33908"/>
          </a:avLst>
        </a:prstGeom>
        <a:gradFill>
          <a:gsLst>
            <a:gs pos="0">
              <a:srgbClr val="215C70"/>
            </a:gs>
            <a:gs pos="100000">
              <a:srgbClr val="168C83"/>
            </a:gs>
          </a:gsLst>
          <a:lin ang="0" scaled="0"/>
        </a:gra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  →</a:t>
          </a:r>
          <a:endParaRPr lang="pt-BR" sz="1100"/>
        </a:p>
      </xdr:txBody>
    </xdr:sp>
    <xdr:clientData/>
  </xdr:twoCellAnchor>
  <xdr:twoCellAnchor editAs="absolute">
    <xdr:from>
      <xdr:col>3</xdr:col>
      <xdr:colOff>1466850</xdr:colOff>
      <xdr:row>50</xdr:row>
      <xdr:rowOff>177812</xdr:rowOff>
    </xdr:from>
    <xdr:to>
      <xdr:col>5</xdr:col>
      <xdr:colOff>714150</xdr:colOff>
      <xdr:row>52</xdr:row>
      <xdr:rowOff>150462</xdr:rowOff>
    </xdr:to>
    <xdr:sp macro="" textlink="">
      <xdr:nvSpPr>
        <xdr:cNvPr id="15" name="Retângulo: Cantos Arredondados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FF233AA-BC45-4D6E-9E75-91B95C944E4F}"/>
            </a:ext>
          </a:extLst>
        </xdr:cNvPr>
        <xdr:cNvSpPr/>
      </xdr:nvSpPr>
      <xdr:spPr>
        <a:xfrm>
          <a:off x="5035550" y="10801362"/>
          <a:ext cx="1800000" cy="360000"/>
        </a:xfrm>
        <a:prstGeom prst="roundRect">
          <a:avLst>
            <a:gd name="adj" fmla="val 33908"/>
          </a:avLst>
        </a:prstGeom>
        <a:gradFill>
          <a:gsLst>
            <a:gs pos="0">
              <a:srgbClr val="17324D"/>
            </a:gs>
            <a:gs pos="100000">
              <a:srgbClr val="215C70"/>
            </a:gs>
          </a:gsLst>
          <a:lin ang="0" scaled="0"/>
        </a:gra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←  ANTERIOR</a:t>
          </a:r>
          <a:endParaRPr lang="pt-BR" sz="1100"/>
        </a:p>
      </xdr:txBody>
    </xdr:sp>
    <xdr:clientData/>
  </xdr:twoCellAnchor>
  <xdr:twoCellAnchor editAs="absolute">
    <xdr:from>
      <xdr:col>2</xdr:col>
      <xdr:colOff>69850</xdr:colOff>
      <xdr:row>5</xdr:row>
      <xdr:rowOff>19050</xdr:rowOff>
    </xdr:from>
    <xdr:to>
      <xdr:col>3</xdr:col>
      <xdr:colOff>1359900</xdr:colOff>
      <xdr:row>9</xdr:row>
      <xdr:rowOff>74450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500BE663-8513-40EC-BE4C-D4C4DF653A0F}"/>
            </a:ext>
          </a:extLst>
        </xdr:cNvPr>
        <xdr:cNvSpPr/>
      </xdr:nvSpPr>
      <xdr:spPr>
        <a:xfrm>
          <a:off x="2768600" y="1003300"/>
          <a:ext cx="2160000" cy="792000"/>
        </a:xfrm>
        <a:prstGeom prst="roundRect">
          <a:avLst/>
        </a:prstGeom>
        <a:solidFill>
          <a:srgbClr val="F3F7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108000" rtlCol="0" anchor="t"/>
        <a:lstStyle/>
        <a:p>
          <a:pPr algn="ctr"/>
          <a:r>
            <a:rPr lang="pt-BR" b="1">
              <a:solidFill>
                <a:srgbClr val="17324D"/>
              </a:solidFill>
            </a:rPr>
            <a:t>TOTAL ANTERIOR</a:t>
          </a:r>
          <a:endParaRPr lang="pt-BR" sz="1100" b="1">
            <a:solidFill>
              <a:srgbClr val="17324D"/>
            </a:solidFill>
          </a:endParaRPr>
        </a:p>
      </xdr:txBody>
    </xdr:sp>
    <xdr:clientData/>
  </xdr:twoCellAnchor>
  <xdr:twoCellAnchor editAs="absolute">
    <xdr:from>
      <xdr:col>2</xdr:col>
      <xdr:colOff>228600</xdr:colOff>
      <xdr:row>7</xdr:row>
      <xdr:rowOff>31750</xdr:rowOff>
    </xdr:from>
    <xdr:to>
      <xdr:col>3</xdr:col>
      <xdr:colOff>1200150</xdr:colOff>
      <xdr:row>8</xdr:row>
      <xdr:rowOff>57150</xdr:rowOff>
    </xdr:to>
    <xdr:sp macro="" textlink="J3">
      <xdr:nvSpPr>
        <xdr:cNvPr id="17" name="CaixaDeTexto 16">
          <a:extLst>
            <a:ext uri="{FF2B5EF4-FFF2-40B4-BE49-F238E27FC236}">
              <a16:creationId xmlns:a16="http://schemas.microsoft.com/office/drawing/2014/main" id="{2DEC6B2F-F073-486A-A84A-A18F7752678E}"/>
            </a:ext>
          </a:extLst>
        </xdr:cNvPr>
        <xdr:cNvSpPr txBox="1"/>
      </xdr:nvSpPr>
      <xdr:spPr>
        <a:xfrm>
          <a:off x="2927350" y="1384300"/>
          <a:ext cx="184150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EC46862-AD3A-46D3-B798-D5B7D504DF60}" type="TxLink">
            <a:rPr lang="en-US" sz="1600" b="1" i="0" u="none" strike="noStrike">
              <a:solidFill>
                <a:srgbClr val="168C83"/>
              </a:solidFill>
              <a:latin typeface="Aptos Narrow"/>
            </a:rPr>
            <a:pPr algn="ctr"/>
            <a:t>R$ 250.500,00</a:t>
          </a:fld>
          <a:endParaRPr lang="pt-BR" sz="1600" b="1" i="0">
            <a:solidFill>
              <a:srgbClr val="168C83"/>
            </a:solidFill>
          </a:endParaRPr>
        </a:p>
      </xdr:txBody>
    </xdr:sp>
    <xdr:clientData/>
  </xdr:twoCellAnchor>
  <xdr:twoCellAnchor editAs="absolute">
    <xdr:from>
      <xdr:col>3</xdr:col>
      <xdr:colOff>1457325</xdr:colOff>
      <xdr:row>5</xdr:row>
      <xdr:rowOff>19050</xdr:rowOff>
    </xdr:from>
    <xdr:to>
      <xdr:col>6</xdr:col>
      <xdr:colOff>125732</xdr:colOff>
      <xdr:row>9</xdr:row>
      <xdr:rowOff>74450</xdr:rowOff>
    </xdr:to>
    <xdr:sp macro="" textlink="">
      <xdr:nvSpPr>
        <xdr:cNvPr id="18" name="Retângulo: Cantos Arredondados 17">
          <a:extLst>
            <a:ext uri="{FF2B5EF4-FFF2-40B4-BE49-F238E27FC236}">
              <a16:creationId xmlns:a16="http://schemas.microsoft.com/office/drawing/2014/main" id="{E9EE13F2-96B1-430C-AB96-40EA04B66982}"/>
            </a:ext>
          </a:extLst>
        </xdr:cNvPr>
        <xdr:cNvSpPr/>
      </xdr:nvSpPr>
      <xdr:spPr>
        <a:xfrm>
          <a:off x="5026025" y="1003300"/>
          <a:ext cx="2160000" cy="792000"/>
        </a:xfrm>
        <a:prstGeom prst="roundRect">
          <a:avLst/>
        </a:prstGeom>
        <a:solidFill>
          <a:srgbClr val="F3F7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108000" rtlCol="0" anchor="t"/>
        <a:lstStyle/>
        <a:p>
          <a:pPr marL="0" lvl="0" indent="0" algn="ctr"/>
          <a:r>
            <a:rPr lang="pt-BR" sz="1100" b="1">
              <a:solidFill>
                <a:srgbClr val="17324D"/>
              </a:solidFill>
              <a:latin typeface="+mn-lt"/>
              <a:ea typeface="+mn-ea"/>
              <a:cs typeface="+mn-cs"/>
            </a:rPr>
            <a:t>TOTAL ATUAL</a:t>
          </a:r>
        </a:p>
      </xdr:txBody>
    </xdr:sp>
    <xdr:clientData/>
  </xdr:twoCellAnchor>
  <xdr:twoCellAnchor editAs="absolute">
    <xdr:from>
      <xdr:col>4</xdr:col>
      <xdr:colOff>63500</xdr:colOff>
      <xdr:row>7</xdr:row>
      <xdr:rowOff>38100</xdr:rowOff>
    </xdr:from>
    <xdr:to>
      <xdr:col>6</xdr:col>
      <xdr:colOff>2721</xdr:colOff>
      <xdr:row>8</xdr:row>
      <xdr:rowOff>63500</xdr:rowOff>
    </xdr:to>
    <xdr:sp macro="" textlink="J4">
      <xdr:nvSpPr>
        <xdr:cNvPr id="19" name="CaixaDeTexto 18">
          <a:extLst>
            <a:ext uri="{FF2B5EF4-FFF2-40B4-BE49-F238E27FC236}">
              <a16:creationId xmlns:a16="http://schemas.microsoft.com/office/drawing/2014/main" id="{2C8B8A72-1A18-40A8-AC27-FC1D9808EB77}"/>
            </a:ext>
          </a:extLst>
        </xdr:cNvPr>
        <xdr:cNvSpPr txBox="1"/>
      </xdr:nvSpPr>
      <xdr:spPr>
        <a:xfrm>
          <a:off x="5226050" y="1390650"/>
          <a:ext cx="184150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705A48C-2A74-4A22-87FD-792B307F748E}" type="TxLink">
            <a:rPr lang="en-US" sz="1600" b="1" i="0" u="none" strike="noStrike">
              <a:solidFill>
                <a:srgbClr val="168C83"/>
              </a:solidFill>
              <a:latin typeface="Aptos Narrow"/>
            </a:rPr>
            <a:pPr algn="ctr"/>
            <a:t>R$ 249.500,00</a:t>
          </a:fld>
          <a:endParaRPr lang="pt-BR" sz="1600" b="1">
            <a:solidFill>
              <a:srgbClr val="168C83"/>
            </a:solidFill>
          </a:endParaRPr>
        </a:p>
      </xdr:txBody>
    </xdr:sp>
    <xdr:clientData/>
  </xdr:twoCellAnchor>
  <xdr:twoCellAnchor editAs="absolute">
    <xdr:from>
      <xdr:col>6</xdr:col>
      <xdr:colOff>223157</xdr:colOff>
      <xdr:row>5</xdr:row>
      <xdr:rowOff>19050</xdr:rowOff>
    </xdr:from>
    <xdr:to>
      <xdr:col>8</xdr:col>
      <xdr:colOff>557986</xdr:colOff>
      <xdr:row>9</xdr:row>
      <xdr:rowOff>74450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11B67E9D-7782-4129-9C21-55E455EAD422}"/>
            </a:ext>
          </a:extLst>
        </xdr:cNvPr>
        <xdr:cNvSpPr/>
      </xdr:nvSpPr>
      <xdr:spPr>
        <a:xfrm>
          <a:off x="7283450" y="1003300"/>
          <a:ext cx="2160000" cy="792000"/>
        </a:xfrm>
        <a:prstGeom prst="roundRect">
          <a:avLst/>
        </a:prstGeom>
        <a:solidFill>
          <a:srgbClr val="F3F7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108000" rIns="90000" rtlCol="0" anchor="t"/>
        <a:lstStyle/>
        <a:p>
          <a:pPr algn="ctr"/>
          <a:r>
            <a:rPr lang="pt-BR" sz="1100" b="1">
              <a:solidFill>
                <a:srgbClr val="17324D"/>
              </a:solidFill>
              <a:latin typeface="+mn-lt"/>
              <a:ea typeface="+mn-ea"/>
              <a:cs typeface="+mn-cs"/>
            </a:rPr>
            <a:t>PENDÊNCIAS</a:t>
          </a:r>
        </a:p>
      </xdr:txBody>
    </xdr:sp>
    <xdr:clientData/>
  </xdr:twoCellAnchor>
  <xdr:twoCellAnchor editAs="absolute">
    <xdr:from>
      <xdr:col>6</xdr:col>
      <xdr:colOff>616857</xdr:colOff>
      <xdr:row>7</xdr:row>
      <xdr:rowOff>44450</xdr:rowOff>
    </xdr:from>
    <xdr:to>
      <xdr:col>8</xdr:col>
      <xdr:colOff>169636</xdr:colOff>
      <xdr:row>8</xdr:row>
      <xdr:rowOff>69850</xdr:rowOff>
    </xdr:to>
    <xdr:sp macro="" textlink="J5">
      <xdr:nvSpPr>
        <xdr:cNvPr id="21" name="CaixaDeTexto 20">
          <a:extLst>
            <a:ext uri="{FF2B5EF4-FFF2-40B4-BE49-F238E27FC236}">
              <a16:creationId xmlns:a16="http://schemas.microsoft.com/office/drawing/2014/main" id="{8B8E91A0-AEF4-43FD-848E-F891BCDD380A}"/>
            </a:ext>
          </a:extLst>
        </xdr:cNvPr>
        <xdr:cNvSpPr txBox="1"/>
      </xdr:nvSpPr>
      <xdr:spPr>
        <a:xfrm>
          <a:off x="7677150" y="1397000"/>
          <a:ext cx="137795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B07C9CC-59A7-4B9A-8A94-567A750C0771}" type="TxLink">
            <a:rPr lang="en-US" sz="1600" b="1" i="0" u="none" strike="noStrike">
              <a:solidFill>
                <a:srgbClr val="D97706"/>
              </a:solidFill>
              <a:latin typeface="Aptos Narrow"/>
            </a:rPr>
            <a:pPr algn="ctr"/>
            <a:t>1</a:t>
          </a:fld>
          <a:endParaRPr lang="pt-BR" sz="1600" b="1">
            <a:solidFill>
              <a:srgbClr val="D97706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342190</xdr:colOff>
      <xdr:row>3</xdr:row>
      <xdr:rowOff>179494</xdr:rowOff>
    </xdr:from>
    <xdr:to>
      <xdr:col>0</xdr:col>
      <xdr:colOff>1698542</xdr:colOff>
      <xdr:row>8</xdr:row>
      <xdr:rowOff>155922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270AAF3-4E77-4A91-9685-D471356AB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42190" y="795444"/>
          <a:ext cx="1356352" cy="8971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134541</xdr:colOff>
      <xdr:row>0</xdr:row>
      <xdr:rowOff>101600</xdr:rowOff>
    </xdr:from>
    <xdr:to>
      <xdr:col>0</xdr:col>
      <xdr:colOff>1963341</xdr:colOff>
      <xdr:row>3</xdr:row>
      <xdr:rowOff>51506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BB4ABD2F-0320-47F0-858A-B285532AFE98}"/>
            </a:ext>
          </a:extLst>
        </xdr:cNvPr>
        <xdr:cNvSpPr/>
      </xdr:nvSpPr>
      <xdr:spPr>
        <a:xfrm>
          <a:off x="134541" y="101600"/>
          <a:ext cx="1828800" cy="5658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chemeClr val="bg1"/>
              </a:solidFill>
              <a:latin typeface="Arial Black" panose="020B0A04020102020204" pitchFamily="34" charset="0"/>
            </a:rPr>
            <a:t>IR</a:t>
          </a:r>
          <a:r>
            <a:rPr lang="pt-BR" sz="1600" b="1" baseline="0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 </a:t>
          </a:r>
          <a:r>
            <a:rPr lang="pt-BR" sz="1600" b="1" baseline="0">
              <a:solidFill>
                <a:srgbClr val="40C9BA"/>
              </a:solidFill>
              <a:latin typeface="Arial Black" panose="020B0A04020102020204" pitchFamily="34" charset="0"/>
            </a:rPr>
            <a:t>ORGANIZA</a:t>
          </a:r>
          <a:endParaRPr lang="pt-BR" sz="1600" b="1">
            <a:solidFill>
              <a:srgbClr val="40C9BA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85329</xdr:colOff>
      <xdr:row>10</xdr:row>
      <xdr:rowOff>58560</xdr:rowOff>
    </xdr:from>
    <xdr:to>
      <xdr:col>0</xdr:col>
      <xdr:colOff>2012554</xdr:colOff>
      <xdr:row>11</xdr:row>
      <xdr:rowOff>253116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8C2B53D-F030-43EC-AA8D-79E5FBB62E7F}"/>
            </a:ext>
          </a:extLst>
        </xdr:cNvPr>
        <xdr:cNvSpPr/>
      </xdr:nvSpPr>
      <xdr:spPr>
        <a:xfrm>
          <a:off x="85329" y="1963560"/>
          <a:ext cx="1927225" cy="378706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/>
            <a:t>INÍCIO</a:t>
          </a:r>
          <a:endParaRPr lang="pt-BR" sz="1800">
            <a:solidFill>
              <a:schemeClr val="lt1"/>
            </a:solidFill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83741</xdr:colOff>
      <xdr:row>12</xdr:row>
      <xdr:rowOff>52034</xdr:rowOff>
    </xdr:from>
    <xdr:to>
      <xdr:col>0</xdr:col>
      <xdr:colOff>2017316</xdr:colOff>
      <xdr:row>13</xdr:row>
      <xdr:rowOff>126775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6DF9F64-D622-4D36-A884-54466A8E2A6E}"/>
            </a:ext>
          </a:extLst>
        </xdr:cNvPr>
        <xdr:cNvSpPr/>
      </xdr:nvSpPr>
      <xdr:spPr>
        <a:xfrm>
          <a:off x="83741" y="2420584"/>
          <a:ext cx="1933575" cy="407106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+mn-lt"/>
              <a:ea typeface="+mn-ea"/>
              <a:cs typeface="+mn-cs"/>
            </a:rPr>
            <a:t>TITULAR</a:t>
          </a:r>
        </a:p>
      </xdr:txBody>
    </xdr:sp>
    <xdr:clientData/>
  </xdr:twoCellAnchor>
  <xdr:twoCellAnchor editAs="absolute">
    <xdr:from>
      <xdr:col>0</xdr:col>
      <xdr:colOff>85329</xdr:colOff>
      <xdr:row>13</xdr:row>
      <xdr:rowOff>194509</xdr:rowOff>
    </xdr:from>
    <xdr:to>
      <xdr:col>0</xdr:col>
      <xdr:colOff>2012554</xdr:colOff>
      <xdr:row>16</xdr:row>
      <xdr:rowOff>13390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36FAAF4-1992-418B-8102-AED53E3C65DD}"/>
            </a:ext>
          </a:extLst>
        </xdr:cNvPr>
        <xdr:cNvSpPr/>
      </xdr:nvSpPr>
      <xdr:spPr>
        <a:xfrm>
          <a:off x="85329" y="2895424"/>
          <a:ext cx="1927225" cy="427037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+mn-lt"/>
              <a:ea typeface="+mn-ea"/>
              <a:cs typeface="+mn-cs"/>
            </a:rPr>
            <a:t>BANCOS</a:t>
          </a:r>
        </a:p>
      </xdr:txBody>
    </xdr:sp>
    <xdr:clientData/>
  </xdr:twoCellAnchor>
  <xdr:twoCellAnchor editAs="absolute">
    <xdr:from>
      <xdr:col>0</xdr:col>
      <xdr:colOff>257175</xdr:colOff>
      <xdr:row>29</xdr:row>
      <xdr:rowOff>127305</xdr:rowOff>
    </xdr:from>
    <xdr:to>
      <xdr:col>0</xdr:col>
      <xdr:colOff>1816100</xdr:colOff>
      <xdr:row>29</xdr:row>
      <xdr:rowOff>127305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677C2C7D-DF54-41AB-9042-6D874AB91F32}"/>
            </a:ext>
          </a:extLst>
        </xdr:cNvPr>
        <xdr:cNvCxnSpPr/>
      </xdr:nvCxnSpPr>
      <xdr:spPr>
        <a:xfrm>
          <a:off x="257175" y="6079420"/>
          <a:ext cx="1558925" cy="0"/>
        </a:xfrm>
        <a:prstGeom prst="line">
          <a:avLst/>
        </a:prstGeom>
        <a:ln w="9525">
          <a:solidFill>
            <a:srgbClr val="168C83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30</xdr:row>
      <xdr:rowOff>180044</xdr:rowOff>
    </xdr:from>
    <xdr:to>
      <xdr:col>0</xdr:col>
      <xdr:colOff>1227834</xdr:colOff>
      <xdr:row>32</xdr:row>
      <xdr:rowOff>88677</xdr:rowOff>
    </xdr:to>
    <xdr:pic>
      <xdr:nvPicPr>
        <xdr:cNvPr id="8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81B53AB-CADB-4FE1-B7C1-5BCCA847E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" y="6335359"/>
          <a:ext cx="345184" cy="315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85329</xdr:colOff>
      <xdr:row>16</xdr:row>
      <xdr:rowOff>84973</xdr:rowOff>
    </xdr:from>
    <xdr:to>
      <xdr:col>0</xdr:col>
      <xdr:colOff>2012554</xdr:colOff>
      <xdr:row>18</xdr:row>
      <xdr:rowOff>98907</xdr:rowOff>
    </xdr:to>
    <xdr:sp macro="" textlink="">
      <xdr:nvSpPr>
        <xdr:cNvPr id="9" name="Retângulo: Cantos Arredondado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72A8BA5-1C50-44E0-BD7E-339DC27B6E99}"/>
            </a:ext>
          </a:extLst>
        </xdr:cNvPr>
        <xdr:cNvSpPr/>
      </xdr:nvSpPr>
      <xdr:spPr>
        <a:xfrm>
          <a:off x="85329" y="3395487"/>
          <a:ext cx="1927225" cy="42033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+mn-lt"/>
              <a:ea typeface="+mn-ea"/>
              <a:cs typeface="+mn-cs"/>
            </a:rPr>
            <a:t>RENDIMENTOS</a:t>
          </a:r>
        </a:p>
      </xdr:txBody>
    </xdr:sp>
    <xdr:clientData/>
  </xdr:twoCellAnchor>
  <xdr:twoCellAnchor editAs="absolute">
    <xdr:from>
      <xdr:col>0</xdr:col>
      <xdr:colOff>85329</xdr:colOff>
      <xdr:row>18</xdr:row>
      <xdr:rowOff>171933</xdr:rowOff>
    </xdr:from>
    <xdr:to>
      <xdr:col>0</xdr:col>
      <xdr:colOff>2012554</xdr:colOff>
      <xdr:row>20</xdr:row>
      <xdr:rowOff>192570</xdr:rowOff>
    </xdr:to>
    <xdr:sp macro="" textlink="">
      <xdr:nvSpPr>
        <xdr:cNvPr id="10" name="Retângulo: Cantos Arredondado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217F6BD-D17D-4F1D-9F82-DA001B554671}"/>
            </a:ext>
          </a:extLst>
        </xdr:cNvPr>
        <xdr:cNvSpPr/>
      </xdr:nvSpPr>
      <xdr:spPr>
        <a:xfrm>
          <a:off x="85329" y="3888848"/>
          <a:ext cx="1927225" cy="427036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PAGAMENTOS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85329</xdr:colOff>
      <xdr:row>21</xdr:row>
      <xdr:rowOff>57105</xdr:rowOff>
    </xdr:from>
    <xdr:to>
      <xdr:col>0</xdr:col>
      <xdr:colOff>2012554</xdr:colOff>
      <xdr:row>23</xdr:row>
      <xdr:rowOff>70686</xdr:rowOff>
    </xdr:to>
    <xdr:sp macro="" textlink="">
      <xdr:nvSpPr>
        <xdr:cNvPr id="11" name="Retângulo: Cantos Arredondado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CBA45D7-3D49-48F8-91D4-FAC037DC0812}"/>
            </a:ext>
          </a:extLst>
        </xdr:cNvPr>
        <xdr:cNvSpPr/>
      </xdr:nvSpPr>
      <xdr:spPr>
        <a:xfrm>
          <a:off x="85329" y="4383619"/>
          <a:ext cx="1927225" cy="41998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+mn-lt"/>
              <a:ea typeface="+mn-ea"/>
              <a:cs typeface="+mn-cs"/>
            </a:rPr>
            <a:t>BENS E DIREITOS</a:t>
          </a:r>
        </a:p>
      </xdr:txBody>
    </xdr:sp>
    <xdr:clientData/>
  </xdr:twoCellAnchor>
  <xdr:twoCellAnchor editAs="absolute">
    <xdr:from>
      <xdr:col>0</xdr:col>
      <xdr:colOff>85329</xdr:colOff>
      <xdr:row>23</xdr:row>
      <xdr:rowOff>143712</xdr:rowOff>
    </xdr:from>
    <xdr:to>
      <xdr:col>0</xdr:col>
      <xdr:colOff>2012554</xdr:colOff>
      <xdr:row>25</xdr:row>
      <xdr:rowOff>158352</xdr:rowOff>
    </xdr:to>
    <xdr:sp macro="" textlink="">
      <xdr:nvSpPr>
        <xdr:cNvPr id="12" name="Retângulo: Cantos Arredondado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F7B590E-A1FB-4883-97EB-3BF6B5EA80EE}"/>
            </a:ext>
          </a:extLst>
        </xdr:cNvPr>
        <xdr:cNvSpPr/>
      </xdr:nvSpPr>
      <xdr:spPr>
        <a:xfrm>
          <a:off x="85329" y="4882976"/>
          <a:ext cx="1927225" cy="414690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17324D"/>
            </a:gs>
            <a:gs pos="100000">
              <a:srgbClr val="168C83"/>
            </a:gs>
            <a:gs pos="50000">
              <a:srgbClr val="215C70">
                <a:alpha val="62353"/>
              </a:srgbClr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+mn-lt"/>
              <a:ea typeface="+mn-ea"/>
              <a:cs typeface="+mn-cs"/>
            </a:rPr>
            <a:t>DOCUMENTOS</a:t>
          </a:r>
        </a:p>
      </xdr:txBody>
    </xdr:sp>
    <xdr:clientData/>
  </xdr:twoCellAnchor>
  <xdr:twoCellAnchor editAs="absolute">
    <xdr:from>
      <xdr:col>0</xdr:col>
      <xdr:colOff>85329</xdr:colOff>
      <xdr:row>26</xdr:row>
      <xdr:rowOff>26796</xdr:rowOff>
    </xdr:from>
    <xdr:to>
      <xdr:col>0</xdr:col>
      <xdr:colOff>2012554</xdr:colOff>
      <xdr:row>28</xdr:row>
      <xdr:rowOff>41788</xdr:rowOff>
    </xdr:to>
    <xdr:sp macro="" textlink="">
      <xdr:nvSpPr>
        <xdr:cNvPr id="13" name="Retângulo: Cantos Arredondados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0D8EEB2-B26C-427E-BEF6-8BBAC2995950}"/>
            </a:ext>
          </a:extLst>
        </xdr:cNvPr>
        <xdr:cNvSpPr/>
      </xdr:nvSpPr>
      <xdr:spPr>
        <a:xfrm>
          <a:off x="85329" y="5367867"/>
          <a:ext cx="1927225" cy="421392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RESUMO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5</xdr:col>
      <xdr:colOff>457200</xdr:colOff>
      <xdr:row>51</xdr:row>
      <xdr:rowOff>11991</xdr:rowOff>
    </xdr:from>
    <xdr:to>
      <xdr:col>6</xdr:col>
      <xdr:colOff>1374550</xdr:colOff>
      <xdr:row>53</xdr:row>
      <xdr:rowOff>3691</xdr:rowOff>
    </xdr:to>
    <xdr:sp macro="" textlink="">
      <xdr:nvSpPr>
        <xdr:cNvPr id="14" name="Retângulo: Cantos Arredondados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59F7A90-4D87-4378-B248-F2994BA60EFD}"/>
            </a:ext>
          </a:extLst>
        </xdr:cNvPr>
        <xdr:cNvSpPr/>
      </xdr:nvSpPr>
      <xdr:spPr>
        <a:xfrm>
          <a:off x="6896100" y="10433062"/>
          <a:ext cx="1800000" cy="360000"/>
        </a:xfrm>
        <a:prstGeom prst="roundRect">
          <a:avLst>
            <a:gd name="adj" fmla="val 33908"/>
          </a:avLst>
        </a:prstGeom>
        <a:gradFill>
          <a:gsLst>
            <a:gs pos="0">
              <a:srgbClr val="215C70"/>
            </a:gs>
            <a:gs pos="100000">
              <a:srgbClr val="168C83"/>
            </a:gs>
          </a:gsLst>
          <a:lin ang="0" scaled="0"/>
        </a:gra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  →</a:t>
          </a:r>
          <a:endParaRPr lang="pt-BR" sz="1100"/>
        </a:p>
      </xdr:txBody>
    </xdr:sp>
    <xdr:clientData/>
  </xdr:twoCellAnchor>
  <xdr:twoCellAnchor editAs="absolute">
    <xdr:from>
      <xdr:col>3</xdr:col>
      <xdr:colOff>838200</xdr:colOff>
      <xdr:row>51</xdr:row>
      <xdr:rowOff>11991</xdr:rowOff>
    </xdr:from>
    <xdr:to>
      <xdr:col>5</xdr:col>
      <xdr:colOff>396650</xdr:colOff>
      <xdr:row>53</xdr:row>
      <xdr:rowOff>3691</xdr:rowOff>
    </xdr:to>
    <xdr:sp macro="" textlink="">
      <xdr:nvSpPr>
        <xdr:cNvPr id="15" name="Retângulo: Cantos Arredondados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9474104-A7E1-48F2-9B7F-05B82795C81B}"/>
            </a:ext>
          </a:extLst>
        </xdr:cNvPr>
        <xdr:cNvSpPr/>
      </xdr:nvSpPr>
      <xdr:spPr>
        <a:xfrm>
          <a:off x="5035550" y="10433062"/>
          <a:ext cx="1800000" cy="360000"/>
        </a:xfrm>
        <a:prstGeom prst="roundRect">
          <a:avLst>
            <a:gd name="adj" fmla="val 33908"/>
          </a:avLst>
        </a:prstGeom>
        <a:gradFill>
          <a:gsLst>
            <a:gs pos="0">
              <a:srgbClr val="17324D"/>
            </a:gs>
            <a:gs pos="100000">
              <a:srgbClr val="215C70"/>
            </a:gs>
          </a:gsLst>
          <a:lin ang="0" scaled="0"/>
        </a:gra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←  ANTERIOR</a:t>
          </a:r>
          <a:endParaRPr lang="pt-BR" sz="1100"/>
        </a:p>
      </xdr:txBody>
    </xdr:sp>
    <xdr:clientData/>
  </xdr:twoCellAnchor>
  <xdr:twoCellAnchor editAs="absolute">
    <xdr:from>
      <xdr:col>2</xdr:col>
      <xdr:colOff>69850</xdr:colOff>
      <xdr:row>5</xdr:row>
      <xdr:rowOff>19050</xdr:rowOff>
    </xdr:from>
    <xdr:to>
      <xdr:col>3</xdr:col>
      <xdr:colOff>731250</xdr:colOff>
      <xdr:row>9</xdr:row>
      <xdr:rowOff>74450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453B3846-E8F9-479E-9BBE-D469B272EF24}"/>
            </a:ext>
          </a:extLst>
        </xdr:cNvPr>
        <xdr:cNvSpPr/>
      </xdr:nvSpPr>
      <xdr:spPr>
        <a:xfrm>
          <a:off x="2768600" y="1003300"/>
          <a:ext cx="2160000" cy="792000"/>
        </a:xfrm>
        <a:prstGeom prst="roundRect">
          <a:avLst/>
        </a:prstGeom>
        <a:solidFill>
          <a:srgbClr val="F3F7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108000" rtlCol="0" anchor="t"/>
        <a:lstStyle/>
        <a:p>
          <a:pPr algn="ctr"/>
          <a:r>
            <a:rPr lang="pt-BR" b="1">
              <a:solidFill>
                <a:srgbClr val="17324D"/>
              </a:solidFill>
            </a:rPr>
            <a:t>TOTAL DE DOCUMENTOS</a:t>
          </a:r>
          <a:endParaRPr lang="pt-BR" sz="1100" b="1">
            <a:solidFill>
              <a:srgbClr val="17324D"/>
            </a:solidFill>
          </a:endParaRPr>
        </a:p>
      </xdr:txBody>
    </xdr:sp>
    <xdr:clientData/>
  </xdr:twoCellAnchor>
  <xdr:twoCellAnchor editAs="absolute">
    <xdr:from>
      <xdr:col>2</xdr:col>
      <xdr:colOff>228600</xdr:colOff>
      <xdr:row>7</xdr:row>
      <xdr:rowOff>31750</xdr:rowOff>
    </xdr:from>
    <xdr:to>
      <xdr:col>3</xdr:col>
      <xdr:colOff>571500</xdr:colOff>
      <xdr:row>8</xdr:row>
      <xdr:rowOff>57150</xdr:rowOff>
    </xdr:to>
    <xdr:sp macro="" textlink="I3">
      <xdr:nvSpPr>
        <xdr:cNvPr id="17" name="CaixaDeTexto 16">
          <a:extLst>
            <a:ext uri="{FF2B5EF4-FFF2-40B4-BE49-F238E27FC236}">
              <a16:creationId xmlns:a16="http://schemas.microsoft.com/office/drawing/2014/main" id="{2C95FB45-02B4-47EE-BC5E-277827E49B24}"/>
            </a:ext>
          </a:extLst>
        </xdr:cNvPr>
        <xdr:cNvSpPr txBox="1"/>
      </xdr:nvSpPr>
      <xdr:spPr>
        <a:xfrm>
          <a:off x="2927350" y="1384300"/>
          <a:ext cx="184150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EC46862-AD3A-46D3-B798-D5B7D504DF60}" type="TxLink">
            <a:rPr lang="en-US" sz="1600" b="1" i="0" u="none" strike="noStrike">
              <a:solidFill>
                <a:srgbClr val="168C83"/>
              </a:solidFill>
              <a:latin typeface="Aptos Narrow"/>
            </a:rPr>
            <a:pPr algn="ctr"/>
            <a:t>10</a:t>
          </a:fld>
          <a:endParaRPr lang="pt-BR" sz="1600" b="1" i="0">
            <a:solidFill>
              <a:srgbClr val="168C83"/>
            </a:solidFill>
          </a:endParaRPr>
        </a:p>
      </xdr:txBody>
    </xdr:sp>
    <xdr:clientData/>
  </xdr:twoCellAnchor>
  <xdr:twoCellAnchor editAs="absolute">
    <xdr:from>
      <xdr:col>3</xdr:col>
      <xdr:colOff>828675</xdr:colOff>
      <xdr:row>5</xdr:row>
      <xdr:rowOff>19050</xdr:rowOff>
    </xdr:from>
    <xdr:to>
      <xdr:col>5</xdr:col>
      <xdr:colOff>747125</xdr:colOff>
      <xdr:row>9</xdr:row>
      <xdr:rowOff>74450</xdr:rowOff>
    </xdr:to>
    <xdr:sp macro="" textlink="">
      <xdr:nvSpPr>
        <xdr:cNvPr id="18" name="Retângulo: Cantos Arredondados 17">
          <a:extLst>
            <a:ext uri="{FF2B5EF4-FFF2-40B4-BE49-F238E27FC236}">
              <a16:creationId xmlns:a16="http://schemas.microsoft.com/office/drawing/2014/main" id="{642FF07A-64CA-4668-923D-8826984083F9}"/>
            </a:ext>
          </a:extLst>
        </xdr:cNvPr>
        <xdr:cNvSpPr/>
      </xdr:nvSpPr>
      <xdr:spPr>
        <a:xfrm>
          <a:off x="5026025" y="1003300"/>
          <a:ext cx="2160000" cy="792000"/>
        </a:xfrm>
        <a:prstGeom prst="roundRect">
          <a:avLst/>
        </a:prstGeom>
        <a:solidFill>
          <a:srgbClr val="F3F7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108000" rtlCol="0" anchor="t"/>
        <a:lstStyle/>
        <a:p>
          <a:pPr marL="0" lvl="0" indent="0" algn="ctr"/>
          <a:r>
            <a:rPr lang="pt-BR" sz="1100" b="1">
              <a:solidFill>
                <a:srgbClr val="17324D"/>
              </a:solidFill>
              <a:latin typeface="+mn-lt"/>
              <a:ea typeface="+mn-ea"/>
              <a:cs typeface="+mn-cs"/>
            </a:rPr>
            <a:t>DOCUMENTOS RECEBIDOS</a:t>
          </a:r>
        </a:p>
      </xdr:txBody>
    </xdr:sp>
    <xdr:clientData/>
  </xdr:twoCellAnchor>
  <xdr:twoCellAnchor editAs="absolute">
    <xdr:from>
      <xdr:col>3</xdr:col>
      <xdr:colOff>1028700</xdr:colOff>
      <xdr:row>7</xdr:row>
      <xdr:rowOff>38100</xdr:rowOff>
    </xdr:from>
    <xdr:to>
      <xdr:col>5</xdr:col>
      <xdr:colOff>628650</xdr:colOff>
      <xdr:row>8</xdr:row>
      <xdr:rowOff>63500</xdr:rowOff>
    </xdr:to>
    <xdr:sp macro="" textlink="I4">
      <xdr:nvSpPr>
        <xdr:cNvPr id="19" name="CaixaDeTexto 18">
          <a:extLst>
            <a:ext uri="{FF2B5EF4-FFF2-40B4-BE49-F238E27FC236}">
              <a16:creationId xmlns:a16="http://schemas.microsoft.com/office/drawing/2014/main" id="{3975CE60-126A-41CA-AA8B-0D40A154E0BF}"/>
            </a:ext>
          </a:extLst>
        </xdr:cNvPr>
        <xdr:cNvSpPr txBox="1"/>
      </xdr:nvSpPr>
      <xdr:spPr>
        <a:xfrm>
          <a:off x="5226050" y="1390650"/>
          <a:ext cx="184150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705A48C-2A74-4A22-87FD-792B307F748E}" type="TxLink">
            <a:rPr lang="en-US" sz="1600" b="1" i="0" u="none" strike="noStrike">
              <a:solidFill>
                <a:srgbClr val="168C83"/>
              </a:solidFill>
              <a:latin typeface="Aptos Narrow"/>
            </a:rPr>
            <a:pPr algn="ctr"/>
            <a:t>8</a:t>
          </a:fld>
          <a:endParaRPr lang="pt-BR" sz="1600" b="1">
            <a:solidFill>
              <a:srgbClr val="168C83"/>
            </a:solidFill>
          </a:endParaRPr>
        </a:p>
      </xdr:txBody>
    </xdr:sp>
    <xdr:clientData/>
  </xdr:twoCellAnchor>
  <xdr:twoCellAnchor editAs="absolute">
    <xdr:from>
      <xdr:col>5</xdr:col>
      <xdr:colOff>844550</xdr:colOff>
      <xdr:row>5</xdr:row>
      <xdr:rowOff>19050</xdr:rowOff>
    </xdr:from>
    <xdr:to>
      <xdr:col>7</xdr:col>
      <xdr:colOff>655050</xdr:colOff>
      <xdr:row>9</xdr:row>
      <xdr:rowOff>74450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C531566A-6C54-4EAA-ABF9-3A42CA6A9F14}"/>
            </a:ext>
          </a:extLst>
        </xdr:cNvPr>
        <xdr:cNvSpPr/>
      </xdr:nvSpPr>
      <xdr:spPr>
        <a:xfrm>
          <a:off x="7283450" y="1003300"/>
          <a:ext cx="2160000" cy="792000"/>
        </a:xfrm>
        <a:prstGeom prst="roundRect">
          <a:avLst/>
        </a:prstGeom>
        <a:solidFill>
          <a:srgbClr val="F3F7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108000" rIns="90000" rtlCol="0" anchor="t"/>
        <a:lstStyle/>
        <a:p>
          <a:pPr algn="ctr"/>
          <a:r>
            <a:rPr lang="pt-BR" sz="1100" b="1">
              <a:solidFill>
                <a:srgbClr val="17324D"/>
              </a:solidFill>
              <a:latin typeface="+mn-lt"/>
              <a:ea typeface="+mn-ea"/>
              <a:cs typeface="+mn-cs"/>
            </a:rPr>
            <a:t>SITUAÇÃO</a:t>
          </a:r>
        </a:p>
      </xdr:txBody>
    </xdr:sp>
    <xdr:clientData/>
  </xdr:twoCellAnchor>
  <xdr:twoCellAnchor editAs="absolute">
    <xdr:from>
      <xdr:col>6</xdr:col>
      <xdr:colOff>355600</xdr:colOff>
      <xdr:row>7</xdr:row>
      <xdr:rowOff>44450</xdr:rowOff>
    </xdr:from>
    <xdr:to>
      <xdr:col>7</xdr:col>
      <xdr:colOff>266700</xdr:colOff>
      <xdr:row>8</xdr:row>
      <xdr:rowOff>69850</xdr:rowOff>
    </xdr:to>
    <xdr:sp macro="" textlink="I5">
      <xdr:nvSpPr>
        <xdr:cNvPr id="21" name="CaixaDeTexto 20">
          <a:extLst>
            <a:ext uri="{FF2B5EF4-FFF2-40B4-BE49-F238E27FC236}">
              <a16:creationId xmlns:a16="http://schemas.microsoft.com/office/drawing/2014/main" id="{E27BE994-3D85-40C4-9BED-4F71EDFA3244}"/>
            </a:ext>
          </a:extLst>
        </xdr:cNvPr>
        <xdr:cNvSpPr txBox="1"/>
      </xdr:nvSpPr>
      <xdr:spPr>
        <a:xfrm>
          <a:off x="7677150" y="1397000"/>
          <a:ext cx="137795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B07C9CC-59A7-4B9A-8A94-567A750C0771}" type="TxLink">
            <a:rPr lang="en-US" sz="1600" b="1" i="0" u="none" strike="noStrike">
              <a:solidFill>
                <a:srgbClr val="D97706"/>
              </a:solidFill>
              <a:latin typeface="Aptos Narrow"/>
            </a:rPr>
            <a:pPr algn="ctr"/>
            <a:t>2</a:t>
          </a:fld>
          <a:endParaRPr lang="pt-BR" sz="1600" b="1">
            <a:solidFill>
              <a:srgbClr val="D97706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342190</xdr:colOff>
      <xdr:row>3</xdr:row>
      <xdr:rowOff>179494</xdr:rowOff>
    </xdr:from>
    <xdr:to>
      <xdr:col>0</xdr:col>
      <xdr:colOff>1698542</xdr:colOff>
      <xdr:row>8</xdr:row>
      <xdr:rowOff>155922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11FBC4-D1E8-4628-8653-74BB29E33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42190" y="795444"/>
          <a:ext cx="1356352" cy="8971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134541</xdr:colOff>
      <xdr:row>0</xdr:row>
      <xdr:rowOff>101600</xdr:rowOff>
    </xdr:from>
    <xdr:to>
      <xdr:col>0</xdr:col>
      <xdr:colOff>1963341</xdr:colOff>
      <xdr:row>3</xdr:row>
      <xdr:rowOff>51506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F7809E64-8B97-4832-B712-5AF8BA13FF04}"/>
            </a:ext>
          </a:extLst>
        </xdr:cNvPr>
        <xdr:cNvSpPr/>
      </xdr:nvSpPr>
      <xdr:spPr>
        <a:xfrm>
          <a:off x="134541" y="101600"/>
          <a:ext cx="1828800" cy="5658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chemeClr val="bg1"/>
              </a:solidFill>
              <a:latin typeface="Arial Black" panose="020B0A04020102020204" pitchFamily="34" charset="0"/>
            </a:rPr>
            <a:t>IR</a:t>
          </a:r>
          <a:r>
            <a:rPr lang="pt-BR" sz="1600" b="1" baseline="0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 </a:t>
          </a:r>
          <a:r>
            <a:rPr lang="pt-BR" sz="1600" b="1" baseline="0">
              <a:solidFill>
                <a:srgbClr val="40C9BA"/>
              </a:solidFill>
              <a:latin typeface="Arial Black" panose="020B0A04020102020204" pitchFamily="34" charset="0"/>
            </a:rPr>
            <a:t>ORGANIZA</a:t>
          </a:r>
          <a:endParaRPr lang="pt-BR" sz="1600" b="1">
            <a:solidFill>
              <a:srgbClr val="40C9BA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85329</xdr:colOff>
      <xdr:row>10</xdr:row>
      <xdr:rowOff>58560</xdr:rowOff>
    </xdr:from>
    <xdr:to>
      <xdr:col>0</xdr:col>
      <xdr:colOff>2012554</xdr:colOff>
      <xdr:row>11</xdr:row>
      <xdr:rowOff>253116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EE63AA-2915-4882-9E3B-0521C6FA811F}"/>
            </a:ext>
          </a:extLst>
        </xdr:cNvPr>
        <xdr:cNvSpPr/>
      </xdr:nvSpPr>
      <xdr:spPr>
        <a:xfrm>
          <a:off x="85329" y="1963560"/>
          <a:ext cx="1927225" cy="378706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/>
            <a:t>INÍCIO</a:t>
          </a:r>
          <a:endParaRPr lang="pt-BR" sz="1800">
            <a:solidFill>
              <a:schemeClr val="lt1"/>
            </a:solidFill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83741</xdr:colOff>
      <xdr:row>12</xdr:row>
      <xdr:rowOff>52034</xdr:rowOff>
    </xdr:from>
    <xdr:to>
      <xdr:col>0</xdr:col>
      <xdr:colOff>2017316</xdr:colOff>
      <xdr:row>14</xdr:row>
      <xdr:rowOff>90840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E7B1E32-B77A-4329-9EA4-EC75AAD7077D}"/>
            </a:ext>
          </a:extLst>
        </xdr:cNvPr>
        <xdr:cNvSpPr/>
      </xdr:nvSpPr>
      <xdr:spPr>
        <a:xfrm>
          <a:off x="83741" y="2420584"/>
          <a:ext cx="1933575" cy="407106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+mn-lt"/>
              <a:ea typeface="+mn-ea"/>
              <a:cs typeface="+mn-cs"/>
            </a:rPr>
            <a:t>TITULAR</a:t>
          </a:r>
        </a:p>
      </xdr:txBody>
    </xdr:sp>
    <xdr:clientData/>
  </xdr:twoCellAnchor>
  <xdr:twoCellAnchor editAs="absolute">
    <xdr:from>
      <xdr:col>0</xdr:col>
      <xdr:colOff>85329</xdr:colOff>
      <xdr:row>14</xdr:row>
      <xdr:rowOff>158574</xdr:rowOff>
    </xdr:from>
    <xdr:to>
      <xdr:col>0</xdr:col>
      <xdr:colOff>2012554</xdr:colOff>
      <xdr:row>17</xdr:row>
      <xdr:rowOff>33161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AFC9DF5-2174-4F43-B1EC-BF7DC980D90C}"/>
            </a:ext>
          </a:extLst>
        </xdr:cNvPr>
        <xdr:cNvSpPr/>
      </xdr:nvSpPr>
      <xdr:spPr>
        <a:xfrm>
          <a:off x="85329" y="2895424"/>
          <a:ext cx="1927225" cy="427037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+mn-lt"/>
              <a:ea typeface="+mn-ea"/>
              <a:cs typeface="+mn-cs"/>
            </a:rPr>
            <a:t>BANCOS</a:t>
          </a:r>
        </a:p>
      </xdr:txBody>
    </xdr:sp>
    <xdr:clientData/>
  </xdr:twoCellAnchor>
  <xdr:twoCellAnchor editAs="absolute">
    <xdr:from>
      <xdr:col>0</xdr:col>
      <xdr:colOff>257175</xdr:colOff>
      <xdr:row>27</xdr:row>
      <xdr:rowOff>27870</xdr:rowOff>
    </xdr:from>
    <xdr:to>
      <xdr:col>0</xdr:col>
      <xdr:colOff>1816100</xdr:colOff>
      <xdr:row>27</xdr:row>
      <xdr:rowOff>27870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119660A2-1521-488F-A66D-FC2CF7DD0A18}"/>
            </a:ext>
          </a:extLst>
        </xdr:cNvPr>
        <xdr:cNvCxnSpPr/>
      </xdr:nvCxnSpPr>
      <xdr:spPr>
        <a:xfrm>
          <a:off x="257175" y="6079420"/>
          <a:ext cx="1558925" cy="0"/>
        </a:xfrm>
        <a:prstGeom prst="line">
          <a:avLst/>
        </a:prstGeom>
        <a:ln w="9525">
          <a:solidFill>
            <a:srgbClr val="168C83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28</xdr:row>
      <xdr:rowOff>99659</xdr:rowOff>
    </xdr:from>
    <xdr:to>
      <xdr:col>0</xdr:col>
      <xdr:colOff>1227834</xdr:colOff>
      <xdr:row>30</xdr:row>
      <xdr:rowOff>46391</xdr:rowOff>
    </xdr:to>
    <xdr:pic>
      <xdr:nvPicPr>
        <xdr:cNvPr id="8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564A21D-F4CF-4839-9D2A-AE3E99CB1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" y="6335359"/>
          <a:ext cx="345184" cy="315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85329</xdr:colOff>
      <xdr:row>17</xdr:row>
      <xdr:rowOff>106187</xdr:rowOff>
    </xdr:from>
    <xdr:to>
      <xdr:col>0</xdr:col>
      <xdr:colOff>2012554</xdr:colOff>
      <xdr:row>19</xdr:row>
      <xdr:rowOff>158222</xdr:rowOff>
    </xdr:to>
    <xdr:sp macro="" textlink="">
      <xdr:nvSpPr>
        <xdr:cNvPr id="9" name="Retângulo: Cantos Arredondado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2CA4F35-9297-45DB-8E7F-E0F33A8A1065}"/>
            </a:ext>
          </a:extLst>
        </xdr:cNvPr>
        <xdr:cNvSpPr/>
      </xdr:nvSpPr>
      <xdr:spPr>
        <a:xfrm>
          <a:off x="85329" y="3395487"/>
          <a:ext cx="1927225" cy="42033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+mn-lt"/>
              <a:ea typeface="+mn-ea"/>
              <a:cs typeface="+mn-cs"/>
            </a:rPr>
            <a:t>RENDIMENTOS</a:t>
          </a:r>
        </a:p>
      </xdr:txBody>
    </xdr:sp>
    <xdr:clientData/>
  </xdr:twoCellAnchor>
  <xdr:twoCellAnchor editAs="absolute">
    <xdr:from>
      <xdr:col>0</xdr:col>
      <xdr:colOff>85329</xdr:colOff>
      <xdr:row>19</xdr:row>
      <xdr:rowOff>230543</xdr:rowOff>
    </xdr:from>
    <xdr:to>
      <xdr:col>0</xdr:col>
      <xdr:colOff>2012554</xdr:colOff>
      <xdr:row>21</xdr:row>
      <xdr:rowOff>105834</xdr:rowOff>
    </xdr:to>
    <xdr:sp macro="" textlink="">
      <xdr:nvSpPr>
        <xdr:cNvPr id="10" name="Retângulo: Cantos Arredondado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F3529E4-AB88-4DDF-A870-6ECCF6D03205}"/>
            </a:ext>
          </a:extLst>
        </xdr:cNvPr>
        <xdr:cNvSpPr/>
      </xdr:nvSpPr>
      <xdr:spPr>
        <a:xfrm>
          <a:off x="85329" y="3888848"/>
          <a:ext cx="1927225" cy="427036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PAGAMENTOS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85329</xdr:colOff>
      <xdr:row>21</xdr:row>
      <xdr:rowOff>173569</xdr:rowOff>
    </xdr:from>
    <xdr:to>
      <xdr:col>0</xdr:col>
      <xdr:colOff>2012554</xdr:colOff>
      <xdr:row>22</xdr:row>
      <xdr:rowOff>224545</xdr:rowOff>
    </xdr:to>
    <xdr:sp macro="" textlink="">
      <xdr:nvSpPr>
        <xdr:cNvPr id="11" name="Retângulo: Cantos Arredondado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5A7A28F-D09E-4564-8862-AE241700CA3B}"/>
            </a:ext>
          </a:extLst>
        </xdr:cNvPr>
        <xdr:cNvSpPr/>
      </xdr:nvSpPr>
      <xdr:spPr>
        <a:xfrm>
          <a:off x="85329" y="4383619"/>
          <a:ext cx="1927225" cy="41998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+mn-lt"/>
              <a:ea typeface="+mn-ea"/>
              <a:cs typeface="+mn-cs"/>
            </a:rPr>
            <a:t>BENS E DIREITOS</a:t>
          </a:r>
        </a:p>
      </xdr:txBody>
    </xdr:sp>
    <xdr:clientData/>
  </xdr:twoCellAnchor>
  <xdr:twoCellAnchor editAs="absolute">
    <xdr:from>
      <xdr:col>0</xdr:col>
      <xdr:colOff>85329</xdr:colOff>
      <xdr:row>22</xdr:row>
      <xdr:rowOff>303921</xdr:rowOff>
    </xdr:from>
    <xdr:to>
      <xdr:col>0</xdr:col>
      <xdr:colOff>2012554</xdr:colOff>
      <xdr:row>23</xdr:row>
      <xdr:rowOff>350311</xdr:rowOff>
    </xdr:to>
    <xdr:sp macro="" textlink="">
      <xdr:nvSpPr>
        <xdr:cNvPr id="12" name="Retângulo: Cantos Arredondado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7B4F36D-8442-48E3-B650-939E84951FFD}"/>
            </a:ext>
          </a:extLst>
        </xdr:cNvPr>
        <xdr:cNvSpPr/>
      </xdr:nvSpPr>
      <xdr:spPr>
        <a:xfrm>
          <a:off x="85329" y="4882976"/>
          <a:ext cx="1927225" cy="41469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+mn-lt"/>
              <a:ea typeface="+mn-ea"/>
              <a:cs typeface="+mn-cs"/>
            </a:rPr>
            <a:t>DOCUMENTOS</a:t>
          </a:r>
        </a:p>
      </xdr:txBody>
    </xdr:sp>
    <xdr:clientData/>
  </xdr:twoCellAnchor>
  <xdr:twoCellAnchor editAs="absolute">
    <xdr:from>
      <xdr:col>0</xdr:col>
      <xdr:colOff>85329</xdr:colOff>
      <xdr:row>24</xdr:row>
      <xdr:rowOff>52917</xdr:rowOff>
    </xdr:from>
    <xdr:to>
      <xdr:col>0</xdr:col>
      <xdr:colOff>2012554</xdr:colOff>
      <xdr:row>25</xdr:row>
      <xdr:rowOff>106009</xdr:rowOff>
    </xdr:to>
    <xdr:sp macro="" textlink="">
      <xdr:nvSpPr>
        <xdr:cNvPr id="13" name="Retângulo: Cantos Arredondados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9BF2E6E-4891-44F4-B985-1FADE20F2E0D}"/>
            </a:ext>
          </a:extLst>
        </xdr:cNvPr>
        <xdr:cNvSpPr/>
      </xdr:nvSpPr>
      <xdr:spPr>
        <a:xfrm>
          <a:off x="85329" y="5367867"/>
          <a:ext cx="1927225" cy="421392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17324D"/>
            </a:gs>
            <a:gs pos="100000">
              <a:srgbClr val="168C83"/>
            </a:gs>
            <a:gs pos="50000">
              <a:srgbClr val="215C70">
                <a:alpha val="62353"/>
              </a:srgbClr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+mn-lt"/>
              <a:ea typeface="+mn-ea"/>
              <a:cs typeface="+mn-cs"/>
            </a:rPr>
            <a:t>RESUMO</a:t>
          </a:r>
        </a:p>
      </xdr:txBody>
    </xdr:sp>
    <xdr:clientData/>
  </xdr:twoCellAnchor>
  <xdr:twoCellAnchor editAs="absolute">
    <xdr:from>
      <xdr:col>5</xdr:col>
      <xdr:colOff>457200</xdr:colOff>
      <xdr:row>42</xdr:row>
      <xdr:rowOff>26088</xdr:rowOff>
    </xdr:from>
    <xdr:to>
      <xdr:col>6</xdr:col>
      <xdr:colOff>1374550</xdr:colOff>
      <xdr:row>44</xdr:row>
      <xdr:rowOff>17788</xdr:rowOff>
    </xdr:to>
    <xdr:sp macro="" textlink="">
      <xdr:nvSpPr>
        <xdr:cNvPr id="14" name="Retângulo: Cantos Arredondados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B2A7F73-ABEE-433A-86C3-367B16DD2229}"/>
            </a:ext>
          </a:extLst>
        </xdr:cNvPr>
        <xdr:cNvSpPr/>
      </xdr:nvSpPr>
      <xdr:spPr>
        <a:xfrm>
          <a:off x="6891867" y="8810255"/>
          <a:ext cx="1799294" cy="358589"/>
        </a:xfrm>
        <a:prstGeom prst="roundRect">
          <a:avLst>
            <a:gd name="adj" fmla="val 33908"/>
          </a:avLst>
        </a:prstGeom>
        <a:gradFill>
          <a:gsLst>
            <a:gs pos="0">
              <a:srgbClr val="215C70"/>
            </a:gs>
            <a:gs pos="100000">
              <a:srgbClr val="168C83"/>
            </a:gs>
          </a:gsLst>
          <a:lin ang="0" scaled="0"/>
        </a:gra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  →</a:t>
          </a:r>
          <a:endParaRPr lang="pt-BR" sz="1100"/>
        </a:p>
      </xdr:txBody>
    </xdr:sp>
    <xdr:clientData/>
  </xdr:twoCellAnchor>
  <xdr:twoCellAnchor editAs="absolute">
    <xdr:from>
      <xdr:col>3</xdr:col>
      <xdr:colOff>838200</xdr:colOff>
      <xdr:row>42</xdr:row>
      <xdr:rowOff>26088</xdr:rowOff>
    </xdr:from>
    <xdr:to>
      <xdr:col>5</xdr:col>
      <xdr:colOff>396650</xdr:colOff>
      <xdr:row>44</xdr:row>
      <xdr:rowOff>17788</xdr:rowOff>
    </xdr:to>
    <xdr:sp macro="" textlink="">
      <xdr:nvSpPr>
        <xdr:cNvPr id="15" name="Retângulo: Cantos Arredondados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371AEDF-9529-4D2A-948D-F9A4E05BE9E9}"/>
            </a:ext>
          </a:extLst>
        </xdr:cNvPr>
        <xdr:cNvSpPr/>
      </xdr:nvSpPr>
      <xdr:spPr>
        <a:xfrm>
          <a:off x="5029200" y="8810255"/>
          <a:ext cx="1802117" cy="358589"/>
        </a:xfrm>
        <a:prstGeom prst="roundRect">
          <a:avLst>
            <a:gd name="adj" fmla="val 33908"/>
          </a:avLst>
        </a:prstGeom>
        <a:gradFill>
          <a:gsLst>
            <a:gs pos="0">
              <a:srgbClr val="17324D"/>
            </a:gs>
            <a:gs pos="100000">
              <a:srgbClr val="215C70"/>
            </a:gs>
          </a:gsLst>
          <a:lin ang="0" scaled="0"/>
        </a:gra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←  ANTERIOR</a:t>
          </a:r>
          <a:endParaRPr lang="pt-BR" sz="1100"/>
        </a:p>
      </xdr:txBody>
    </xdr:sp>
    <xdr:clientData/>
  </xdr:twoCellAnchor>
  <xdr:twoCellAnchor>
    <xdr:from>
      <xdr:col>2</xdr:col>
      <xdr:colOff>104775</xdr:colOff>
      <xdr:row>5</xdr:row>
      <xdr:rowOff>76200</xdr:rowOff>
    </xdr:from>
    <xdr:to>
      <xdr:col>3</xdr:col>
      <xdr:colOff>766175</xdr:colOff>
      <xdr:row>9</xdr:row>
      <xdr:rowOff>131600</xdr:rowOff>
    </xdr:to>
    <xdr:sp macro="" textlink="">
      <xdr:nvSpPr>
        <xdr:cNvPr id="22" name="Retângulo: Cantos Arredondados 21">
          <a:extLst>
            <a:ext uri="{FF2B5EF4-FFF2-40B4-BE49-F238E27FC236}">
              <a16:creationId xmlns:a16="http://schemas.microsoft.com/office/drawing/2014/main" id="{94577686-FBE1-AE64-7456-328A3A197C1A}"/>
            </a:ext>
          </a:extLst>
        </xdr:cNvPr>
        <xdr:cNvSpPr/>
      </xdr:nvSpPr>
      <xdr:spPr>
        <a:xfrm>
          <a:off x="2803525" y="1060450"/>
          <a:ext cx="2160000" cy="792000"/>
        </a:xfrm>
        <a:prstGeom prst="roundRect">
          <a:avLst/>
        </a:prstGeom>
        <a:solidFill>
          <a:srgbClr val="F3F7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b="1">
              <a:solidFill>
                <a:srgbClr val="17324D"/>
              </a:solidFill>
            </a:rPr>
            <a:t>RENDIMENTOS</a:t>
          </a:r>
          <a:endParaRPr lang="pt-BR" sz="1100" b="1">
            <a:solidFill>
              <a:srgbClr val="17324D"/>
            </a:solidFill>
          </a:endParaRPr>
        </a:p>
      </xdr:txBody>
    </xdr:sp>
    <xdr:clientData/>
  </xdr:twoCellAnchor>
  <xdr:twoCellAnchor>
    <xdr:from>
      <xdr:col>2</xdr:col>
      <xdr:colOff>104775</xdr:colOff>
      <xdr:row>10</xdr:row>
      <xdr:rowOff>171450</xdr:rowOff>
    </xdr:from>
    <xdr:to>
      <xdr:col>3</xdr:col>
      <xdr:colOff>766175</xdr:colOff>
      <xdr:row>14</xdr:row>
      <xdr:rowOff>131600</xdr:rowOff>
    </xdr:to>
    <xdr:sp macro="" textlink="">
      <xdr:nvSpPr>
        <xdr:cNvPr id="23" name="Retângulo: Cantos Arredondados 22">
          <a:extLst>
            <a:ext uri="{FF2B5EF4-FFF2-40B4-BE49-F238E27FC236}">
              <a16:creationId xmlns:a16="http://schemas.microsoft.com/office/drawing/2014/main" id="{9A3CC24F-F277-328A-40C4-7BC97A934CE9}"/>
            </a:ext>
          </a:extLst>
        </xdr:cNvPr>
        <xdr:cNvSpPr/>
      </xdr:nvSpPr>
      <xdr:spPr>
        <a:xfrm>
          <a:off x="2803525" y="2076450"/>
          <a:ext cx="2160000" cy="792000"/>
        </a:xfrm>
        <a:prstGeom prst="roundRect">
          <a:avLst/>
        </a:prstGeom>
        <a:solidFill>
          <a:srgbClr val="F3F7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b="1">
              <a:solidFill>
                <a:srgbClr val="17324D"/>
              </a:solidFill>
            </a:rPr>
            <a:t>SALDOS BANCÁRIOS</a:t>
          </a:r>
          <a:endParaRPr lang="pt-BR" sz="1100" b="1">
            <a:solidFill>
              <a:srgbClr val="17324D"/>
            </a:solidFill>
          </a:endParaRPr>
        </a:p>
      </xdr:txBody>
    </xdr:sp>
    <xdr:clientData/>
  </xdr:twoCellAnchor>
  <xdr:twoCellAnchor>
    <xdr:from>
      <xdr:col>6</xdr:col>
      <xdr:colOff>276225</xdr:colOff>
      <xdr:row>10</xdr:row>
      <xdr:rowOff>171450</xdr:rowOff>
    </xdr:from>
    <xdr:to>
      <xdr:col>7</xdr:col>
      <xdr:colOff>969375</xdr:colOff>
      <xdr:row>14</xdr:row>
      <xdr:rowOff>131600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416C0ACF-2302-DAF3-06DD-0439BF708037}"/>
            </a:ext>
          </a:extLst>
        </xdr:cNvPr>
        <xdr:cNvSpPr/>
      </xdr:nvSpPr>
      <xdr:spPr>
        <a:xfrm>
          <a:off x="7597775" y="2076450"/>
          <a:ext cx="2160000" cy="792000"/>
        </a:xfrm>
        <a:prstGeom prst="roundRect">
          <a:avLst/>
        </a:prstGeom>
        <a:solidFill>
          <a:srgbClr val="F3F7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b="1">
              <a:solidFill>
                <a:srgbClr val="17324D"/>
              </a:solidFill>
            </a:rPr>
            <a:t>PENDÊNCIAS</a:t>
          </a:r>
          <a:endParaRPr lang="pt-BR" sz="1100" b="1">
            <a:solidFill>
              <a:srgbClr val="17324D"/>
            </a:solidFill>
          </a:endParaRPr>
        </a:p>
      </xdr:txBody>
    </xdr:sp>
    <xdr:clientData/>
  </xdr:twoCellAnchor>
  <xdr:twoCellAnchor>
    <xdr:from>
      <xdr:col>6</xdr:col>
      <xdr:colOff>276225</xdr:colOff>
      <xdr:row>5</xdr:row>
      <xdr:rowOff>76200</xdr:rowOff>
    </xdr:from>
    <xdr:to>
      <xdr:col>7</xdr:col>
      <xdr:colOff>969375</xdr:colOff>
      <xdr:row>9</xdr:row>
      <xdr:rowOff>131600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AD6F31A6-3F0B-5226-095F-6E7BB3B95E6F}"/>
            </a:ext>
          </a:extLst>
        </xdr:cNvPr>
        <xdr:cNvSpPr/>
      </xdr:nvSpPr>
      <xdr:spPr>
        <a:xfrm>
          <a:off x="7597775" y="1060450"/>
          <a:ext cx="2160000" cy="792000"/>
        </a:xfrm>
        <a:prstGeom prst="roundRect">
          <a:avLst/>
        </a:prstGeom>
        <a:solidFill>
          <a:srgbClr val="F3F7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b="1">
              <a:solidFill>
                <a:srgbClr val="17324D"/>
              </a:solidFill>
            </a:rPr>
            <a:t>BENS E DIREITOS</a:t>
          </a:r>
          <a:endParaRPr lang="pt-BR" sz="1100" b="1">
            <a:solidFill>
              <a:srgbClr val="17324D"/>
            </a:solidFill>
          </a:endParaRPr>
        </a:p>
      </xdr:txBody>
    </xdr:sp>
    <xdr:clientData/>
  </xdr:twoCellAnchor>
  <xdr:twoCellAnchor>
    <xdr:from>
      <xdr:col>3</xdr:col>
      <xdr:colOff>984250</xdr:colOff>
      <xdr:row>10</xdr:row>
      <xdr:rowOff>171450</xdr:rowOff>
    </xdr:from>
    <xdr:to>
      <xdr:col>6</xdr:col>
      <xdr:colOff>20050</xdr:colOff>
      <xdr:row>14</xdr:row>
      <xdr:rowOff>131600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40AC237E-8FB2-9BC7-5ADB-E4DB20DEF368}"/>
            </a:ext>
          </a:extLst>
        </xdr:cNvPr>
        <xdr:cNvSpPr/>
      </xdr:nvSpPr>
      <xdr:spPr>
        <a:xfrm>
          <a:off x="5181600" y="2076450"/>
          <a:ext cx="2160000" cy="792000"/>
        </a:xfrm>
        <a:prstGeom prst="roundRect">
          <a:avLst/>
        </a:prstGeom>
        <a:solidFill>
          <a:srgbClr val="F3F7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b="1">
              <a:solidFill>
                <a:srgbClr val="17324D"/>
              </a:solidFill>
            </a:rPr>
            <a:t>DOCUMENTOS</a:t>
          </a:r>
          <a:endParaRPr lang="pt-BR" sz="1100" b="1">
            <a:solidFill>
              <a:srgbClr val="17324D"/>
            </a:solidFill>
          </a:endParaRPr>
        </a:p>
      </xdr:txBody>
    </xdr:sp>
    <xdr:clientData/>
  </xdr:twoCellAnchor>
  <xdr:twoCellAnchor>
    <xdr:from>
      <xdr:col>3</xdr:col>
      <xdr:colOff>1003300</xdr:colOff>
      <xdr:row>5</xdr:row>
      <xdr:rowOff>76200</xdr:rowOff>
    </xdr:from>
    <xdr:to>
      <xdr:col>6</xdr:col>
      <xdr:colOff>39100</xdr:colOff>
      <xdr:row>9</xdr:row>
      <xdr:rowOff>131600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E5FC0D45-77F6-F86D-9D50-E39FF73E0AB0}"/>
            </a:ext>
          </a:extLst>
        </xdr:cNvPr>
        <xdr:cNvSpPr/>
      </xdr:nvSpPr>
      <xdr:spPr>
        <a:xfrm>
          <a:off x="5200650" y="1060450"/>
          <a:ext cx="2160000" cy="792000"/>
        </a:xfrm>
        <a:prstGeom prst="roundRect">
          <a:avLst/>
        </a:prstGeom>
        <a:solidFill>
          <a:srgbClr val="F3F7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b="1">
              <a:solidFill>
                <a:srgbClr val="17324D"/>
              </a:solidFill>
            </a:rPr>
            <a:t>PAGAMENTOS</a:t>
          </a:r>
          <a:endParaRPr lang="pt-BR" sz="1100" b="1">
            <a:solidFill>
              <a:srgbClr val="17324D"/>
            </a:solidFill>
          </a:endParaRPr>
        </a:p>
      </xdr:txBody>
    </xdr:sp>
    <xdr:clientData/>
  </xdr:twoCellAnchor>
  <xdr:twoCellAnchor>
    <xdr:from>
      <xdr:col>2</xdr:col>
      <xdr:colOff>375150</xdr:colOff>
      <xdr:row>7</xdr:row>
      <xdr:rowOff>76200</xdr:rowOff>
    </xdr:from>
    <xdr:to>
      <xdr:col>3</xdr:col>
      <xdr:colOff>495800</xdr:colOff>
      <xdr:row>8</xdr:row>
      <xdr:rowOff>101600</xdr:rowOff>
    </xdr:to>
    <xdr:sp macro="" textlink="$I$2">
      <xdr:nvSpPr>
        <xdr:cNvPr id="28" name="CaixaDeTexto 27">
          <a:extLst>
            <a:ext uri="{FF2B5EF4-FFF2-40B4-BE49-F238E27FC236}">
              <a16:creationId xmlns:a16="http://schemas.microsoft.com/office/drawing/2014/main" id="{702E1F32-4881-A597-B2CF-452A42668CE9}"/>
            </a:ext>
          </a:extLst>
        </xdr:cNvPr>
        <xdr:cNvSpPr txBox="1"/>
      </xdr:nvSpPr>
      <xdr:spPr>
        <a:xfrm>
          <a:off x="3073900" y="1428750"/>
          <a:ext cx="161925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6BE25E4-3429-4339-9092-B6242A70E4C4}" type="TxLink">
            <a:rPr lang="en-US" sz="1400" b="1" i="0" u="none" strike="noStrike">
              <a:solidFill>
                <a:srgbClr val="168C83"/>
              </a:solidFill>
              <a:latin typeface="Aptos Narrow"/>
            </a:rPr>
            <a:pPr algn="ctr"/>
            <a:t>R$ 27.006,30</a:t>
          </a:fld>
          <a:endParaRPr lang="pt-BR" sz="1400" b="1">
            <a:solidFill>
              <a:srgbClr val="168C83"/>
            </a:solidFill>
          </a:endParaRPr>
        </a:p>
      </xdr:txBody>
    </xdr:sp>
    <xdr:clientData/>
  </xdr:twoCellAnchor>
  <xdr:twoCellAnchor>
    <xdr:from>
      <xdr:col>2</xdr:col>
      <xdr:colOff>375150</xdr:colOff>
      <xdr:row>12</xdr:row>
      <xdr:rowOff>50800</xdr:rowOff>
    </xdr:from>
    <xdr:to>
      <xdr:col>3</xdr:col>
      <xdr:colOff>495800</xdr:colOff>
      <xdr:row>13</xdr:row>
      <xdr:rowOff>76200</xdr:rowOff>
    </xdr:to>
    <xdr:sp macro="" textlink="$I$5">
      <xdr:nvSpPr>
        <xdr:cNvPr id="29" name="CaixaDeTexto 28">
          <a:extLst>
            <a:ext uri="{FF2B5EF4-FFF2-40B4-BE49-F238E27FC236}">
              <a16:creationId xmlns:a16="http://schemas.microsoft.com/office/drawing/2014/main" id="{7525DA7A-47C5-4541-998C-11F8A211727C}"/>
            </a:ext>
          </a:extLst>
        </xdr:cNvPr>
        <xdr:cNvSpPr txBox="1"/>
      </xdr:nvSpPr>
      <xdr:spPr>
        <a:xfrm>
          <a:off x="3073900" y="2419350"/>
          <a:ext cx="161925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577E20A-38D3-43A5-8168-61191BFFBC9F}" type="TxLink">
            <a:rPr lang="en-US" sz="1400" b="1" i="0" u="none" strike="noStrike">
              <a:solidFill>
                <a:srgbClr val="168C83"/>
              </a:solidFill>
              <a:latin typeface="Aptos Narrow"/>
            </a:rPr>
            <a:pPr algn="ctr"/>
            <a:t>R$ 25.971,35</a:t>
          </a:fld>
          <a:endParaRPr lang="pt-BR" sz="1400" b="1">
            <a:solidFill>
              <a:srgbClr val="168C83"/>
            </a:solidFill>
          </a:endParaRPr>
        </a:p>
      </xdr:txBody>
    </xdr:sp>
    <xdr:clientData/>
  </xdr:twoCellAnchor>
  <xdr:twoCellAnchor>
    <xdr:from>
      <xdr:col>3</xdr:col>
      <xdr:colOff>1254625</xdr:colOff>
      <xdr:row>12</xdr:row>
      <xdr:rowOff>50800</xdr:rowOff>
    </xdr:from>
    <xdr:to>
      <xdr:col>5</xdr:col>
      <xdr:colOff>632325</xdr:colOff>
      <xdr:row>13</xdr:row>
      <xdr:rowOff>76200</xdr:rowOff>
    </xdr:to>
    <xdr:sp macro="" textlink="$I$6">
      <xdr:nvSpPr>
        <xdr:cNvPr id="30" name="CaixaDeTexto 29">
          <a:extLst>
            <a:ext uri="{FF2B5EF4-FFF2-40B4-BE49-F238E27FC236}">
              <a16:creationId xmlns:a16="http://schemas.microsoft.com/office/drawing/2014/main" id="{D1C26031-6731-45E5-A11A-40DD9E7D3E59}"/>
            </a:ext>
          </a:extLst>
        </xdr:cNvPr>
        <xdr:cNvSpPr txBox="1"/>
      </xdr:nvSpPr>
      <xdr:spPr>
        <a:xfrm>
          <a:off x="5451975" y="2419350"/>
          <a:ext cx="161925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67F3E40-398A-4418-A6F8-2D6DEC00B33D}" type="TxLink">
            <a:rPr lang="en-US" sz="1400" b="1" i="0" u="none" strike="noStrike">
              <a:solidFill>
                <a:srgbClr val="168C83"/>
              </a:solidFill>
              <a:latin typeface="Aptos Narrow"/>
            </a:rPr>
            <a:pPr algn="ctr"/>
            <a:t>8 de 10</a:t>
          </a:fld>
          <a:endParaRPr lang="pt-BR" sz="1400" b="1">
            <a:solidFill>
              <a:srgbClr val="168C83"/>
            </a:solidFill>
          </a:endParaRPr>
        </a:p>
      </xdr:txBody>
    </xdr:sp>
    <xdr:clientData/>
  </xdr:twoCellAnchor>
  <xdr:twoCellAnchor>
    <xdr:from>
      <xdr:col>3</xdr:col>
      <xdr:colOff>1273675</xdr:colOff>
      <xdr:row>7</xdr:row>
      <xdr:rowOff>76200</xdr:rowOff>
    </xdr:from>
    <xdr:to>
      <xdr:col>5</xdr:col>
      <xdr:colOff>651375</xdr:colOff>
      <xdr:row>8</xdr:row>
      <xdr:rowOff>101600</xdr:rowOff>
    </xdr:to>
    <xdr:sp macro="" textlink="$I$3">
      <xdr:nvSpPr>
        <xdr:cNvPr id="31" name="CaixaDeTexto 30">
          <a:extLst>
            <a:ext uri="{FF2B5EF4-FFF2-40B4-BE49-F238E27FC236}">
              <a16:creationId xmlns:a16="http://schemas.microsoft.com/office/drawing/2014/main" id="{3A42B1B5-8E57-4C80-8676-15C630E75093}"/>
            </a:ext>
          </a:extLst>
        </xdr:cNvPr>
        <xdr:cNvSpPr txBox="1"/>
      </xdr:nvSpPr>
      <xdr:spPr>
        <a:xfrm>
          <a:off x="5471025" y="1428750"/>
          <a:ext cx="161925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DC098DE-FE18-4A14-9523-D76F10B89B06}" type="TxLink">
            <a:rPr lang="en-US" sz="1400" b="1" i="0" u="none" strike="noStrike">
              <a:solidFill>
                <a:srgbClr val="168C83"/>
              </a:solidFill>
              <a:latin typeface="Aptos Narrow"/>
            </a:rPr>
            <a:pPr algn="ctr"/>
            <a:t>R$ 7.570,00</a:t>
          </a:fld>
          <a:endParaRPr lang="pt-BR" sz="1400" b="1">
            <a:solidFill>
              <a:srgbClr val="168C83"/>
            </a:solidFill>
          </a:endParaRPr>
        </a:p>
      </xdr:txBody>
    </xdr:sp>
    <xdr:clientData/>
  </xdr:twoCellAnchor>
  <xdr:twoCellAnchor>
    <xdr:from>
      <xdr:col>6</xdr:col>
      <xdr:colOff>546600</xdr:colOff>
      <xdr:row>7</xdr:row>
      <xdr:rowOff>76200</xdr:rowOff>
    </xdr:from>
    <xdr:to>
      <xdr:col>7</xdr:col>
      <xdr:colOff>699000</xdr:colOff>
      <xdr:row>8</xdr:row>
      <xdr:rowOff>101600</xdr:rowOff>
    </xdr:to>
    <xdr:sp macro="" textlink="$I$4">
      <xdr:nvSpPr>
        <xdr:cNvPr id="32" name="CaixaDeTexto 31">
          <a:extLst>
            <a:ext uri="{FF2B5EF4-FFF2-40B4-BE49-F238E27FC236}">
              <a16:creationId xmlns:a16="http://schemas.microsoft.com/office/drawing/2014/main" id="{DC6C519A-2996-42EF-BCAF-9535B96C04B9}"/>
            </a:ext>
          </a:extLst>
        </xdr:cNvPr>
        <xdr:cNvSpPr txBox="1"/>
      </xdr:nvSpPr>
      <xdr:spPr>
        <a:xfrm>
          <a:off x="7868150" y="1428750"/>
          <a:ext cx="161925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6852192-42D4-48E8-A7C3-AAA889E8958F}" type="TxLink">
            <a:rPr lang="en-US" sz="1400" b="1" i="0" u="none" strike="noStrike">
              <a:solidFill>
                <a:srgbClr val="168C83"/>
              </a:solidFill>
              <a:latin typeface="Aptos Narrow"/>
            </a:rPr>
            <a:pPr algn="ctr"/>
            <a:t>R$ 249.500,00</a:t>
          </a:fld>
          <a:endParaRPr lang="pt-BR" sz="1400" b="1">
            <a:solidFill>
              <a:srgbClr val="168C83"/>
            </a:solidFill>
          </a:endParaRPr>
        </a:p>
      </xdr:txBody>
    </xdr:sp>
    <xdr:clientData/>
  </xdr:twoCellAnchor>
  <xdr:twoCellAnchor>
    <xdr:from>
      <xdr:col>6</xdr:col>
      <xdr:colOff>546600</xdr:colOff>
      <xdr:row>12</xdr:row>
      <xdr:rowOff>50800</xdr:rowOff>
    </xdr:from>
    <xdr:to>
      <xdr:col>7</xdr:col>
      <xdr:colOff>699000</xdr:colOff>
      <xdr:row>13</xdr:row>
      <xdr:rowOff>76200</xdr:rowOff>
    </xdr:to>
    <xdr:sp macro="" textlink="$I$7">
      <xdr:nvSpPr>
        <xdr:cNvPr id="33" name="CaixaDeTexto 32">
          <a:extLst>
            <a:ext uri="{FF2B5EF4-FFF2-40B4-BE49-F238E27FC236}">
              <a16:creationId xmlns:a16="http://schemas.microsoft.com/office/drawing/2014/main" id="{ECB3FCB5-6089-4EB8-8784-2EB467C1BEA5}"/>
            </a:ext>
          </a:extLst>
        </xdr:cNvPr>
        <xdr:cNvSpPr txBox="1"/>
      </xdr:nvSpPr>
      <xdr:spPr>
        <a:xfrm>
          <a:off x="7868150" y="2419350"/>
          <a:ext cx="161925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5AE93F1-E0E1-44C0-A6AA-48B854793D62}" type="TxLink">
            <a:rPr lang="en-US" sz="1400" b="1" i="0" u="none" strike="noStrike">
              <a:solidFill>
                <a:srgbClr val="D97706"/>
              </a:solidFill>
              <a:latin typeface="Aptos Narrow"/>
            </a:rPr>
            <a:pPr algn="ctr"/>
            <a:t>6</a:t>
          </a:fld>
          <a:endParaRPr lang="pt-BR" sz="1400" b="1">
            <a:solidFill>
              <a:srgbClr val="D97706"/>
            </a:solidFill>
          </a:endParaRPr>
        </a:p>
      </xdr:txBody>
    </xdr:sp>
    <xdr:clientData/>
  </xdr:twoCellAnchor>
  <xdr:twoCellAnchor editAs="absolute">
    <xdr:from>
      <xdr:col>2</xdr:col>
      <xdr:colOff>250825</xdr:colOff>
      <xdr:row>16</xdr:row>
      <xdr:rowOff>16825</xdr:rowOff>
    </xdr:from>
    <xdr:to>
      <xdr:col>5</xdr:col>
      <xdr:colOff>31750</xdr:colOff>
      <xdr:row>25</xdr:row>
      <xdr:rowOff>169225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5509D2F7-91B0-F426-28A7-35B744A1D1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absolute">
    <xdr:from>
      <xdr:col>4</xdr:col>
      <xdr:colOff>904875</xdr:colOff>
      <xdr:row>16</xdr:row>
      <xdr:rowOff>15875</xdr:rowOff>
    </xdr:from>
    <xdr:to>
      <xdr:col>9</xdr:col>
      <xdr:colOff>69575</xdr:colOff>
      <xdr:row>25</xdr:row>
      <xdr:rowOff>170175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7A28BA28-BAD9-260F-E9A6-A64D09854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83236</xdr:colOff>
      <xdr:row>28</xdr:row>
      <xdr:rowOff>54271</xdr:rowOff>
    </xdr:from>
    <xdr:to>
      <xdr:col>7</xdr:col>
      <xdr:colOff>945444</xdr:colOff>
      <xdr:row>40</xdr:row>
      <xdr:rowOff>176331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D3E57E20-81BF-D5EA-7E0D-DA6819BB94BF}"/>
            </a:ext>
          </a:extLst>
        </xdr:cNvPr>
        <xdr:cNvGrpSpPr/>
      </xdr:nvGrpSpPr>
      <xdr:grpSpPr>
        <a:xfrm>
          <a:off x="2781986" y="6203188"/>
          <a:ext cx="6958208" cy="2281060"/>
          <a:chOff x="2778458" y="7547328"/>
          <a:chExt cx="6951153" cy="2323394"/>
        </a:xfrm>
      </xdr:grpSpPr>
      <xdr:sp macro="" textlink="">
        <xdr:nvSpPr>
          <xdr:cNvPr id="38" name="Retângulo: Cantos Arredondados 37">
            <a:extLst>
              <a:ext uri="{FF2B5EF4-FFF2-40B4-BE49-F238E27FC236}">
                <a16:creationId xmlns:a16="http://schemas.microsoft.com/office/drawing/2014/main" id="{65D70F0B-ABA0-4AAB-A30A-D9B639BA95DF}"/>
              </a:ext>
            </a:extLst>
          </xdr:cNvPr>
          <xdr:cNvSpPr/>
        </xdr:nvSpPr>
        <xdr:spPr>
          <a:xfrm>
            <a:off x="2938991" y="7547328"/>
            <a:ext cx="6783565" cy="2323394"/>
          </a:xfrm>
          <a:prstGeom prst="roundRect">
            <a:avLst/>
          </a:prstGeom>
          <a:solidFill>
            <a:srgbClr val="F3F7F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9" name="CaixaDeTexto 38">
            <a:extLst>
              <a:ext uri="{FF2B5EF4-FFF2-40B4-BE49-F238E27FC236}">
                <a16:creationId xmlns:a16="http://schemas.microsoft.com/office/drawing/2014/main" id="{A552A8C7-BB45-4CF0-9156-182E53581F0A}"/>
              </a:ext>
            </a:extLst>
          </xdr:cNvPr>
          <xdr:cNvSpPr txBox="1"/>
        </xdr:nvSpPr>
        <xdr:spPr>
          <a:xfrm>
            <a:off x="3059338" y="7722092"/>
            <a:ext cx="2880000" cy="28596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1200" b="1">
                <a:solidFill>
                  <a:srgbClr val="17324D"/>
                </a:solidFill>
                <a:latin typeface="+mj-lt"/>
                <a:ea typeface="+mn-ea"/>
                <a:cs typeface="+mn-cs"/>
              </a:rPr>
              <a:t>ACOMPANHAMENTO DA DECLARAÇÃO</a:t>
            </a:r>
          </a:p>
        </xdr:txBody>
      </xdr:sp>
      <xdr:sp macro="" textlink="RESUMO!$L$21">
        <xdr:nvSpPr>
          <xdr:cNvPr id="40" name="CaixaDeTexto 39">
            <a:extLst>
              <a:ext uri="{FF2B5EF4-FFF2-40B4-BE49-F238E27FC236}">
                <a16:creationId xmlns:a16="http://schemas.microsoft.com/office/drawing/2014/main" id="{D0B389C6-1160-44A5-93CC-D26F5052981E}"/>
              </a:ext>
            </a:extLst>
          </xdr:cNvPr>
          <xdr:cNvSpPr txBox="1"/>
        </xdr:nvSpPr>
        <xdr:spPr>
          <a:xfrm>
            <a:off x="9187380" y="8242491"/>
            <a:ext cx="475513" cy="2367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A4BBF4A8-B754-45E2-AAF9-1006037AF598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t>33%</a:t>
            </a:fld>
            <a:endParaRPr lang="pt-BR" sz="1200" b="1">
              <a:solidFill>
                <a:srgbClr val="168C83"/>
              </a:solidFill>
              <a:latin typeface="+mj-lt"/>
            </a:endParaRPr>
          </a:p>
        </xdr:txBody>
      </xdr:sp>
      <xdr:graphicFrame macro="">
        <xdr:nvGraphicFramePr>
          <xdr:cNvPr id="41" name="1">
            <a:extLst>
              <a:ext uri="{FF2B5EF4-FFF2-40B4-BE49-F238E27FC236}">
                <a16:creationId xmlns:a16="http://schemas.microsoft.com/office/drawing/2014/main" id="{2E0E4C96-F7E4-49A4-B33C-C2AD6A81F34F}"/>
              </a:ext>
            </a:extLst>
          </xdr:cNvPr>
          <xdr:cNvGraphicFramePr>
            <a:graphicFrameLocks/>
          </xdr:cNvGraphicFramePr>
        </xdr:nvGraphicFramePr>
        <xdr:xfrm>
          <a:off x="4321722" y="8135071"/>
          <a:ext cx="4823809" cy="45164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sp macro="" textlink="">
        <xdr:nvSpPr>
          <xdr:cNvPr id="45" name="CaixaDeTexto 44">
            <a:extLst>
              <a:ext uri="{FF2B5EF4-FFF2-40B4-BE49-F238E27FC236}">
                <a16:creationId xmlns:a16="http://schemas.microsoft.com/office/drawing/2014/main" id="{FB04DA6D-0079-BE26-893A-6FAE22BEC383}"/>
              </a:ext>
            </a:extLst>
          </xdr:cNvPr>
          <xdr:cNvSpPr txBox="1"/>
        </xdr:nvSpPr>
        <xdr:spPr>
          <a:xfrm>
            <a:off x="3029306" y="8246003"/>
            <a:ext cx="1189152" cy="2297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pt-BR" sz="1100" b="1">
                <a:solidFill>
                  <a:srgbClr val="17324D"/>
                </a:solidFill>
                <a:latin typeface="+mj-lt"/>
              </a:rPr>
              <a:t>BANCOS</a:t>
            </a:r>
          </a:p>
        </xdr:txBody>
      </xdr:sp>
      <xdr:sp macro="" textlink="">
        <xdr:nvSpPr>
          <xdr:cNvPr id="46" name="CaixaDeTexto 45">
            <a:extLst>
              <a:ext uri="{FF2B5EF4-FFF2-40B4-BE49-F238E27FC236}">
                <a16:creationId xmlns:a16="http://schemas.microsoft.com/office/drawing/2014/main" id="{4C8008F2-3E71-34FE-ECEE-C39FD52D1554}"/>
              </a:ext>
            </a:extLst>
          </xdr:cNvPr>
          <xdr:cNvSpPr txBox="1"/>
        </xdr:nvSpPr>
        <xdr:spPr>
          <a:xfrm>
            <a:off x="3029306" y="8548345"/>
            <a:ext cx="1189152" cy="2313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pt-BR" sz="1100" b="1">
                <a:solidFill>
                  <a:srgbClr val="17324D"/>
                </a:solidFill>
                <a:latin typeface="+mj-lt"/>
              </a:rPr>
              <a:t>RENDIMENTOS</a:t>
            </a:r>
          </a:p>
        </xdr:txBody>
      </xdr:sp>
      <xdr:sp macro="" textlink="">
        <xdr:nvSpPr>
          <xdr:cNvPr id="47" name="CaixaDeTexto 46">
            <a:extLst>
              <a:ext uri="{FF2B5EF4-FFF2-40B4-BE49-F238E27FC236}">
                <a16:creationId xmlns:a16="http://schemas.microsoft.com/office/drawing/2014/main" id="{92DFEA3A-B51E-4A24-85F2-278B2C8DB405}"/>
              </a:ext>
            </a:extLst>
          </xdr:cNvPr>
          <xdr:cNvSpPr txBox="1"/>
        </xdr:nvSpPr>
        <xdr:spPr>
          <a:xfrm>
            <a:off x="3029306" y="8851932"/>
            <a:ext cx="1189152" cy="2304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pt-BR" sz="1100" b="1">
                <a:solidFill>
                  <a:srgbClr val="17324D"/>
                </a:solidFill>
                <a:latin typeface="+mj-lt"/>
              </a:rPr>
              <a:t>PAGAMENTOS</a:t>
            </a:r>
          </a:p>
        </xdr:txBody>
      </xdr:sp>
      <xdr:sp macro="" textlink="">
        <xdr:nvSpPr>
          <xdr:cNvPr id="48" name="CaixaDeTexto 47">
            <a:extLst>
              <a:ext uri="{FF2B5EF4-FFF2-40B4-BE49-F238E27FC236}">
                <a16:creationId xmlns:a16="http://schemas.microsoft.com/office/drawing/2014/main" id="{B2BFB1CA-261F-EA91-73A5-3B315C123EF8}"/>
              </a:ext>
            </a:extLst>
          </xdr:cNvPr>
          <xdr:cNvSpPr txBox="1"/>
        </xdr:nvSpPr>
        <xdr:spPr>
          <a:xfrm>
            <a:off x="2778458" y="9155066"/>
            <a:ext cx="1440000" cy="2304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pt-BR" sz="1100" b="1">
                <a:solidFill>
                  <a:srgbClr val="17324D"/>
                </a:solidFill>
                <a:latin typeface="+mj-lt"/>
              </a:rPr>
              <a:t>BENS E DIREITOS</a:t>
            </a:r>
          </a:p>
        </xdr:txBody>
      </xdr:sp>
      <xdr:sp macro="" textlink="">
        <xdr:nvSpPr>
          <xdr:cNvPr id="49" name="CaixaDeTexto 48">
            <a:extLst>
              <a:ext uri="{FF2B5EF4-FFF2-40B4-BE49-F238E27FC236}">
                <a16:creationId xmlns:a16="http://schemas.microsoft.com/office/drawing/2014/main" id="{A8747944-F577-634A-C808-8B57246FC3A7}"/>
              </a:ext>
            </a:extLst>
          </xdr:cNvPr>
          <xdr:cNvSpPr txBox="1"/>
        </xdr:nvSpPr>
        <xdr:spPr>
          <a:xfrm>
            <a:off x="3029306" y="9458539"/>
            <a:ext cx="1189152" cy="2297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pt-BR" sz="1100" b="1">
                <a:solidFill>
                  <a:srgbClr val="17324D"/>
                </a:solidFill>
                <a:latin typeface="+mj-lt"/>
              </a:rPr>
              <a:t>DOCUMENTOS</a:t>
            </a:r>
          </a:p>
        </xdr:txBody>
      </xdr:sp>
      <xdr:graphicFrame macro="">
        <xdr:nvGraphicFramePr>
          <xdr:cNvPr id="57" name="3">
            <a:extLst>
              <a:ext uri="{FF2B5EF4-FFF2-40B4-BE49-F238E27FC236}">
                <a16:creationId xmlns:a16="http://schemas.microsoft.com/office/drawing/2014/main" id="{4094A784-AFBD-CA17-6BD0-41FD1A489F9C}"/>
              </a:ext>
            </a:extLst>
          </xdr:cNvPr>
          <xdr:cNvGraphicFramePr>
            <a:graphicFrameLocks/>
          </xdr:cNvGraphicFramePr>
        </xdr:nvGraphicFramePr>
        <xdr:xfrm>
          <a:off x="4323133" y="8741339"/>
          <a:ext cx="4823809" cy="45164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graphicFrame macro="">
        <xdr:nvGraphicFramePr>
          <xdr:cNvPr id="58" name="4">
            <a:extLst>
              <a:ext uri="{FF2B5EF4-FFF2-40B4-BE49-F238E27FC236}">
                <a16:creationId xmlns:a16="http://schemas.microsoft.com/office/drawing/2014/main" id="{4553F080-E0F7-C747-FF4E-3166E833418E}"/>
              </a:ext>
            </a:extLst>
          </xdr:cNvPr>
          <xdr:cNvGraphicFramePr>
            <a:graphicFrameLocks/>
          </xdr:cNvGraphicFramePr>
        </xdr:nvGraphicFramePr>
        <xdr:xfrm>
          <a:off x="4323133" y="9044473"/>
          <a:ext cx="4823809" cy="45164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  <xdr:graphicFrame macro="">
        <xdr:nvGraphicFramePr>
          <xdr:cNvPr id="59" name="5">
            <a:extLst>
              <a:ext uri="{FF2B5EF4-FFF2-40B4-BE49-F238E27FC236}">
                <a16:creationId xmlns:a16="http://schemas.microsoft.com/office/drawing/2014/main" id="{D0137C2C-A7A0-DE89-9BB0-DC32BE73627C}"/>
              </a:ext>
            </a:extLst>
          </xdr:cNvPr>
          <xdr:cNvGraphicFramePr>
            <a:graphicFrameLocks/>
          </xdr:cNvGraphicFramePr>
        </xdr:nvGraphicFramePr>
        <xdr:xfrm>
          <a:off x="4323133" y="9347607"/>
          <a:ext cx="4823809" cy="45164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  <xdr:sp macro="" textlink="RESUMO!$L$22">
        <xdr:nvSpPr>
          <xdr:cNvPr id="60" name="CaixaDeTexto 59">
            <a:extLst>
              <a:ext uri="{FF2B5EF4-FFF2-40B4-BE49-F238E27FC236}">
                <a16:creationId xmlns:a16="http://schemas.microsoft.com/office/drawing/2014/main" id="{484D135C-9D2E-6338-2EA9-BD27E4A79535}"/>
              </a:ext>
            </a:extLst>
          </xdr:cNvPr>
          <xdr:cNvSpPr txBox="1"/>
        </xdr:nvSpPr>
        <xdr:spPr>
          <a:xfrm>
            <a:off x="9187380" y="8545626"/>
            <a:ext cx="475513" cy="2367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73195D39-3439-447B-8DEB-AC07B3C039CE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t>90%</a:t>
            </a:fld>
            <a:endParaRPr lang="pt-BR" sz="1200" b="1">
              <a:solidFill>
                <a:srgbClr val="168C83"/>
              </a:solidFill>
              <a:latin typeface="+mj-lt"/>
            </a:endParaRPr>
          </a:p>
        </xdr:txBody>
      </xdr:sp>
      <xdr:sp macro="" textlink="RESUMO!$L$23">
        <xdr:nvSpPr>
          <xdr:cNvPr id="61" name="CaixaDeTexto 60">
            <a:extLst>
              <a:ext uri="{FF2B5EF4-FFF2-40B4-BE49-F238E27FC236}">
                <a16:creationId xmlns:a16="http://schemas.microsoft.com/office/drawing/2014/main" id="{93FA0D79-9657-8FC7-227C-EF5AF580AACF}"/>
              </a:ext>
            </a:extLst>
          </xdr:cNvPr>
          <xdr:cNvSpPr txBox="1"/>
        </xdr:nvSpPr>
        <xdr:spPr>
          <a:xfrm>
            <a:off x="9187380" y="8858797"/>
            <a:ext cx="542231" cy="21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FBB96F44-7D70-4E1F-83E8-F6B20A5B4DB6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t>100%</a:t>
            </a:fld>
            <a:endParaRPr lang="pt-BR" sz="1200" b="1">
              <a:solidFill>
                <a:srgbClr val="168C83"/>
              </a:solidFill>
              <a:latin typeface="+mj-lt"/>
            </a:endParaRPr>
          </a:p>
        </xdr:txBody>
      </xdr:sp>
      <xdr:sp macro="" textlink="RESUMO!$L$24">
        <xdr:nvSpPr>
          <xdr:cNvPr id="62" name="CaixaDeTexto 61">
            <a:extLst>
              <a:ext uri="{FF2B5EF4-FFF2-40B4-BE49-F238E27FC236}">
                <a16:creationId xmlns:a16="http://schemas.microsoft.com/office/drawing/2014/main" id="{8E3667CE-DA1E-D3E3-0796-501F28E1AE8C}"/>
              </a:ext>
            </a:extLst>
          </xdr:cNvPr>
          <xdr:cNvSpPr txBox="1"/>
        </xdr:nvSpPr>
        <xdr:spPr>
          <a:xfrm>
            <a:off x="9187380" y="9151894"/>
            <a:ext cx="475513" cy="2367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BA8AC47B-4E90-48CD-B08B-EFDADB61B8DC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t>80%</a:t>
            </a:fld>
            <a:endParaRPr lang="pt-BR" sz="1200" b="1">
              <a:solidFill>
                <a:srgbClr val="168C83"/>
              </a:solidFill>
              <a:latin typeface="+mj-lt"/>
            </a:endParaRPr>
          </a:p>
        </xdr:txBody>
      </xdr:sp>
      <xdr:sp macro="" textlink="RESUMO!$L$25">
        <xdr:nvSpPr>
          <xdr:cNvPr id="63" name="CaixaDeTexto 62">
            <a:extLst>
              <a:ext uri="{FF2B5EF4-FFF2-40B4-BE49-F238E27FC236}">
                <a16:creationId xmlns:a16="http://schemas.microsoft.com/office/drawing/2014/main" id="{152999AA-5ED9-44DD-9725-5AE2791EBC4C}"/>
              </a:ext>
            </a:extLst>
          </xdr:cNvPr>
          <xdr:cNvSpPr txBox="1"/>
        </xdr:nvSpPr>
        <xdr:spPr>
          <a:xfrm>
            <a:off x="9187380" y="9455028"/>
            <a:ext cx="475513" cy="2367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8DF149F6-B58E-4739-A086-DE23A4BB5C95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t>80%</a:t>
            </a:fld>
            <a:endParaRPr lang="pt-BR" sz="1200" b="1">
              <a:solidFill>
                <a:srgbClr val="168C83"/>
              </a:solidFill>
              <a:latin typeface="+mj-lt"/>
            </a:endParaRPr>
          </a:p>
        </xdr:txBody>
      </xdr:sp>
      <xdr:graphicFrame macro="">
        <xdr:nvGraphicFramePr>
          <xdr:cNvPr id="16" name="1">
            <a:extLst>
              <a:ext uri="{FF2B5EF4-FFF2-40B4-BE49-F238E27FC236}">
                <a16:creationId xmlns:a16="http://schemas.microsoft.com/office/drawing/2014/main" id="{726BDD9C-C65A-0316-BAAD-178F6CDCD0A1}"/>
              </a:ext>
            </a:extLst>
          </xdr:cNvPr>
          <xdr:cNvGraphicFramePr>
            <a:graphicFrameLocks/>
          </xdr:cNvGraphicFramePr>
        </xdr:nvGraphicFramePr>
        <xdr:xfrm>
          <a:off x="4321722" y="8428582"/>
          <a:ext cx="4823809" cy="45164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8"/>
          </a:graphicData>
        </a:graphic>
      </xdr:graphicFrame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342190" y="794738"/>
    <xdr:ext cx="1356352" cy="893650"/>
    <xdr:pic>
      <xdr:nvPicPr>
        <xdr:cNvPr id="2" name="Imagem 1">
          <a:extLst>
            <a:ext uri="{FF2B5EF4-FFF2-40B4-BE49-F238E27FC236}">
              <a16:creationId xmlns:a16="http://schemas.microsoft.com/office/drawing/2014/main" id="{1E720355-4BE7-4DC3-BF1F-755F7067B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42190" y="794738"/>
          <a:ext cx="1356352" cy="893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absoluteAnchor>
  <xdr:absoluteAnchor>
    <xdr:pos x="134541" y="101600"/>
    <xdr:ext cx="1828800" cy="565150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AB9E94A9-C8D3-4B7C-AEC2-86AECD462D35}"/>
            </a:ext>
          </a:extLst>
        </xdr:cNvPr>
        <xdr:cNvSpPr/>
      </xdr:nvSpPr>
      <xdr:spPr>
        <a:xfrm>
          <a:off x="134541" y="101600"/>
          <a:ext cx="1828800" cy="565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chemeClr val="bg1"/>
              </a:solidFill>
              <a:latin typeface="Arial Black" panose="020B0A04020102020204" pitchFamily="34" charset="0"/>
            </a:rPr>
            <a:t>IR</a:t>
          </a:r>
          <a:r>
            <a:rPr lang="pt-BR" sz="1600" b="1" baseline="0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 </a:t>
          </a:r>
          <a:r>
            <a:rPr lang="pt-BR" sz="1600" b="1" baseline="0">
              <a:solidFill>
                <a:srgbClr val="40C9BA"/>
              </a:solidFill>
              <a:latin typeface="Arial Black" panose="020B0A04020102020204" pitchFamily="34" charset="0"/>
            </a:rPr>
            <a:t>ORGANIZA</a:t>
          </a:r>
          <a:endParaRPr lang="pt-BR" sz="1600" b="1">
            <a:solidFill>
              <a:srgbClr val="40C9BA"/>
            </a:solidFill>
            <a:latin typeface="Arial Black" panose="020B0A04020102020204" pitchFamily="34" charset="0"/>
          </a:endParaRPr>
        </a:p>
      </xdr:txBody>
    </xdr:sp>
    <xdr:clientData/>
  </xdr:absoluteAnchor>
  <xdr:absoluteAnchor>
    <xdr:pos x="85329" y="1962149"/>
    <xdr:ext cx="1927225" cy="373062"/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8EDF27-8D84-418F-938D-AFC6115CE790}"/>
            </a:ext>
          </a:extLst>
        </xdr:cNvPr>
        <xdr:cNvSpPr/>
      </xdr:nvSpPr>
      <xdr:spPr>
        <a:xfrm>
          <a:off x="85329" y="1962149"/>
          <a:ext cx="1927225" cy="373062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/>
            <a:t>INÍCIO</a:t>
          </a:r>
          <a:endParaRPr lang="pt-BR" sz="1800">
            <a:solidFill>
              <a:schemeClr val="lt1"/>
            </a:solidFill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</xdr:txBody>
    </xdr:sp>
    <xdr:clientData/>
  </xdr:absoluteAnchor>
  <xdr:absoluteAnchor>
    <xdr:pos x="83741" y="2411412"/>
    <xdr:ext cx="1933575" cy="412750"/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B98FC0C-BA70-4E14-B6AF-188C8DB6ADE1}"/>
            </a:ext>
          </a:extLst>
        </xdr:cNvPr>
        <xdr:cNvSpPr/>
      </xdr:nvSpPr>
      <xdr:spPr>
        <a:xfrm>
          <a:off x="83741" y="2411412"/>
          <a:ext cx="1933575" cy="4127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/>
            <a:t>TITULAR</a:t>
          </a:r>
          <a:endParaRPr lang="pt-BR" sz="1800">
            <a:solidFill>
              <a:schemeClr val="lt1"/>
            </a:solidFill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</xdr:txBody>
    </xdr:sp>
    <xdr:clientData/>
  </xdr:absoluteAnchor>
  <xdr:absoluteAnchor>
    <xdr:pos x="85329" y="2894013"/>
    <xdr:ext cx="1927225" cy="427037"/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2539FDD-1E67-4DB7-BD0F-6DE6EEA1B1E8}"/>
            </a:ext>
          </a:extLst>
        </xdr:cNvPr>
        <xdr:cNvSpPr/>
      </xdr:nvSpPr>
      <xdr:spPr>
        <a:xfrm>
          <a:off x="85329" y="2894013"/>
          <a:ext cx="1927225" cy="427037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BANCOS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absoluteAnchor>
  <xdr:absoluteAnchor>
    <xdr:pos x="257175" y="6099175"/>
    <xdr:ext cx="1558925" cy="0"/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D4EE11EA-778F-4F04-BA23-0581E88F1509}"/>
            </a:ext>
          </a:extLst>
        </xdr:cNvPr>
        <xdr:cNvCxnSpPr/>
      </xdr:nvCxnSpPr>
      <xdr:spPr>
        <a:xfrm>
          <a:off x="257175" y="6099175"/>
          <a:ext cx="1558925" cy="0"/>
        </a:xfrm>
        <a:prstGeom prst="line">
          <a:avLst/>
        </a:prstGeom>
        <a:ln w="9525">
          <a:solidFill>
            <a:srgbClr val="168C83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absoluteAnchor>
  <xdr:absoluteAnchor>
    <xdr:pos x="882650" y="6357937"/>
    <xdr:ext cx="345184" cy="320676"/>
    <xdr:pic>
      <xdr:nvPicPr>
        <xdr:cNvPr id="8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E8A11D3-4E44-49D8-847C-6C3FCCDB8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" y="6357937"/>
          <a:ext cx="345184" cy="320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absoluteAnchor>
  <xdr:absoluteAnchor>
    <xdr:pos x="85329" y="3394076"/>
    <xdr:ext cx="1927225" cy="423862"/>
    <xdr:sp macro="" textlink="">
      <xdr:nvSpPr>
        <xdr:cNvPr id="9" name="Retângulo: Cantos Arredondado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6BFF82D-C11D-4CEB-8649-551052CEDFB6}"/>
            </a:ext>
          </a:extLst>
        </xdr:cNvPr>
        <xdr:cNvSpPr/>
      </xdr:nvSpPr>
      <xdr:spPr>
        <a:xfrm>
          <a:off x="85329" y="3394076"/>
          <a:ext cx="1927225" cy="423862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RENDIMENTOS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absoluteAnchor>
  <xdr:absoluteAnchor>
    <xdr:pos x="85329" y="3890964"/>
    <xdr:ext cx="1927225" cy="427037"/>
    <xdr:sp macro="" textlink="">
      <xdr:nvSpPr>
        <xdr:cNvPr id="10" name="Retângulo: Cantos Arredondado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8740AD7-B2D7-4453-86C5-143867930733}"/>
            </a:ext>
          </a:extLst>
        </xdr:cNvPr>
        <xdr:cNvSpPr/>
      </xdr:nvSpPr>
      <xdr:spPr>
        <a:xfrm>
          <a:off x="85329" y="3890964"/>
          <a:ext cx="1927225" cy="427037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PAGAMENTOS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absoluteAnchor>
  <xdr:absoluteAnchor>
    <xdr:pos x="85329" y="4387852"/>
    <xdr:ext cx="1927225" cy="420687"/>
    <xdr:sp macro="" textlink="">
      <xdr:nvSpPr>
        <xdr:cNvPr id="11" name="Retângulo: Cantos Arredondado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5AB5AE1-85CE-428E-BFD7-BF6CB9449E8C}"/>
            </a:ext>
          </a:extLst>
        </xdr:cNvPr>
        <xdr:cNvSpPr/>
      </xdr:nvSpPr>
      <xdr:spPr>
        <a:xfrm>
          <a:off x="85329" y="4387852"/>
          <a:ext cx="1927225" cy="420687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BENS E DIREITOS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absoluteAnchor>
  <xdr:absoluteAnchor>
    <xdr:pos x="85329" y="4887915"/>
    <xdr:ext cx="1927225" cy="417512"/>
    <xdr:sp macro="" textlink="">
      <xdr:nvSpPr>
        <xdr:cNvPr id="12" name="Retângulo: Cantos Arredondado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F428285-D2BA-4B91-AD00-4CC44C5AB535}"/>
            </a:ext>
          </a:extLst>
        </xdr:cNvPr>
        <xdr:cNvSpPr/>
      </xdr:nvSpPr>
      <xdr:spPr>
        <a:xfrm>
          <a:off x="85329" y="4887915"/>
          <a:ext cx="1927225" cy="417512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DOCUMENTOS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absoluteAnchor>
  <xdr:absoluteAnchor>
    <xdr:pos x="85329" y="5378450"/>
    <xdr:ext cx="1927225" cy="427037"/>
    <xdr:sp macro="" textlink="">
      <xdr:nvSpPr>
        <xdr:cNvPr id="13" name="Retângulo: Cantos Arredondados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7DA989E-0B3F-43A3-B4FA-C99BF1BF4D8B}"/>
            </a:ext>
          </a:extLst>
        </xdr:cNvPr>
        <xdr:cNvSpPr/>
      </xdr:nvSpPr>
      <xdr:spPr>
        <a:xfrm>
          <a:off x="85329" y="5378450"/>
          <a:ext cx="1927225" cy="427037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RESUMO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3D514B-62F1-4DF0-AF57-2E36C4F1B5EF}" name="Tabela13" displayName="Tabela13" ref="C13:I51" totalsRowShown="0" headerRowDxfId="54" dataDxfId="53">
  <autoFilter ref="C13:I51" xr:uid="{ED3D514B-62F1-4DF0-AF57-2E36C4F1B5EF}"/>
  <tableColumns count="7">
    <tableColumn id="1" xr3:uid="{940EA324-F0E5-4F1D-82BB-A099E28B4318}" name="DATA" dataDxfId="52"/>
    <tableColumn id="2" xr3:uid="{4630F158-C596-47EF-9C6D-4075206D8689}" name="FONTE PAGADORA" dataDxfId="51"/>
    <tableColumn id="3" xr3:uid="{22A382ED-D94E-4D27-A773-4B7A944A4592}" name="CPF/CNPJ" dataDxfId="50"/>
    <tableColumn id="4" xr3:uid="{93254152-B993-4E3E-9B74-E0EFB8717546}" name="TIPO DE RENDIMENTO" dataDxfId="49"/>
    <tableColumn id="5" xr3:uid="{82B15570-66F5-40FE-9546-8C957E677F94}" name="VALOR RECEBIDO" dataDxfId="48"/>
    <tableColumn id="7" xr3:uid="{734A33EB-B294-48D4-A04B-61E98842A4A9}" name="IMPOSTO RETIDO" dataDxfId="47" dataCellStyle="Moeda"/>
    <tableColumn id="9" xr3:uid="{5200F33D-650F-4601-B83A-283F57F3572D}" name="SITUAÇÃO" dataDxfId="55">
      <calculatedColumnFormula>IF(COUNTA(C14:H14)=0,"",IF(OR(C14="",D14="",E14="",F14="",G14="",#REF!="",#REF!=""),"INCOMPLETO",IF(#REF!="SIM","CONCLUÍDO","PENDENTE")))</calculatedColumnFormula>
    </tableColumn>
  </tableColumns>
  <tableStyleInfo name="IR Organiza - Rendimentos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7FABA0B-5301-4C06-81A3-676B369D108E}" name="Tabela138" displayName="Tabela138" ref="C13:I51" totalsRowShown="0" headerRowDxfId="45" dataDxfId="44">
  <autoFilter ref="C13:I51" xr:uid="{ED3D514B-62F1-4DF0-AF57-2E36C4F1B5EF}"/>
  <tableColumns count="7">
    <tableColumn id="1" xr3:uid="{B8089B97-9BDE-408A-9B49-B19DCA8F4BFB}" name="DATA" dataDxfId="43"/>
    <tableColumn id="2" xr3:uid="{7EE7C9B0-CBC9-49F0-B2E7-BFE84497B23C}" name="PRESTADOR / RECEBEDOR" dataDxfId="42"/>
    <tableColumn id="3" xr3:uid="{FE3F45CE-A2AE-488A-AAB9-3A34E0D10F02}" name="CPF/CNPJ" dataDxfId="41"/>
    <tableColumn id="4" xr3:uid="{3B3CBBB2-EBEB-4288-8564-66A47AE0696D}" name="TIPO DE DESPESA" dataDxfId="40"/>
    <tableColumn id="5" xr3:uid="{61438414-4DEE-434F-AD4A-CE81B3B848CF}" name="VALOR PAGO" dataDxfId="39"/>
    <tableColumn id="7" xr3:uid="{39246360-47AE-4386-8BAF-2E82B23B7F63}" name="VALOR REEMBOLSADO" dataDxfId="38" dataCellStyle="Moeda"/>
    <tableColumn id="9" xr3:uid="{10E529A4-1CF6-43A8-8B2D-D76465F47446}" name="SITUAÇÃO" dataDxfId="46">
      <calculatedColumnFormula>IF(COUNTA(C14:H14)=0,"",IF(OR(C14="",D14="",E14="",F14="",G14="",#REF!="",#REF!=""),"INCOMPLETO",IF(#REF!="SIM","CONCLUÍDO","PENDENTE")))</calculatedColumnFormula>
    </tableColumn>
  </tableColumns>
  <tableStyleInfo name="IR Organiza - Rendimentos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50FA862-BEBF-43EB-A624-2B2F34B689C0}" name="Tabela139" displayName="Tabela139" ref="C13:I51" totalsRowShown="0" headerRowDxfId="21" dataDxfId="36">
  <autoFilter ref="C13:I51" xr:uid="{ED3D514B-62F1-4DF0-AF57-2E36C4F1B5EF}"/>
  <tableColumns count="7">
    <tableColumn id="1" xr3:uid="{37115DF0-FE33-4379-994C-64ED66CE2B77}" name="TIPO DE BEM" dataDxfId="35"/>
    <tableColumn id="2" xr3:uid="{3DC07E1E-7443-4ACE-B9FD-C0A41341143E}" name="DESCRIÇÃO" dataDxfId="34"/>
    <tableColumn id="3" xr3:uid="{B56CB006-894B-4B19-A63A-18501FA2D9D5}" name="LOCALIZAÇÃO" dataDxfId="33"/>
    <tableColumn id="4" xr3:uid="{D526C6D8-0BB7-472C-B700-5B730C5FAC23}" name="DATA DE AQUISIÇÃO" dataDxfId="32"/>
    <tableColumn id="5" xr3:uid="{B9C0CFE1-3B93-4A90-BD34-38FC5F496B84}" name="VALOR ANTERIOR" dataDxfId="31"/>
    <tableColumn id="7" xr3:uid="{8305B14C-BE03-4BB7-8299-609566E9B8B1}" name="VALOR ATUAL" dataDxfId="30" dataCellStyle="Moeda"/>
    <tableColumn id="9" xr3:uid="{F7547426-64B3-4497-816A-24009459ADB8}" name="SITUAÇÃO" dataDxfId="37">
      <calculatedColumnFormula>IF(COUNTA(C14:H14)=0,"",IF(OR(C14="",D14="",E14="",F14="",G14="",H14=""),"INCOMPLETO","CONCLUÍDO"))</calculatedColumnFormula>
    </tableColumn>
  </tableColumns>
  <tableStyleInfo name="IR Organiza - Rendimentos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BA599E1-9663-4DC6-AC52-308B7D58F2C8}" name="Tabela13910" displayName="Tabela13910" ref="C13:H51" totalsRowShown="0" headerRowDxfId="22" dataDxfId="28">
  <autoFilter ref="C13:H51" xr:uid="{ED3D514B-62F1-4DF0-AF57-2E36C4F1B5EF}"/>
  <tableColumns count="6">
    <tableColumn id="1" xr3:uid="{01A085CC-6DA1-4047-95D6-9AD6006965B4}" name="DOCUMENTO" dataDxfId="27"/>
    <tableColumn id="2" xr3:uid="{D21787A8-7016-46E7-BB66-C6AAC48467A6}" name="CATEGORIA" dataDxfId="26"/>
    <tableColumn id="3" xr3:uid="{DBD1B425-5158-4B9C-8388-5262D874FCA7}" name="ANO-CALENDÁRIO" dataDxfId="25"/>
    <tableColumn id="4" xr3:uid="{F119BBCE-1207-4FAC-9615-87D505404C3B}" name="RECEBIDO?" dataDxfId="24"/>
    <tableColumn id="5" xr3:uid="{B68D6540-2B3E-405C-86BD-D86320A85B6A}" name="LOCAL DO ARQUIVO" dataDxfId="23"/>
    <tableColumn id="7" xr3:uid="{B5F8778C-ECF6-46A6-8E96-AC0B25AECC2A}" name="SITUAÇÃO" dataDxfId="29" dataCellStyle="Moeda">
      <calculatedColumnFormula>IF(COUNTA(C14:G14)=0,"",IF(OR(C14="",D14="",E14="",F14=""),"INCOMPLETO",IF(F14="NÃO","PENDENTE",IF(G14="","INCOMPLETO","CONCLUÍDO"))))</calculatedColumnFormula>
    </tableColumn>
  </tableColumns>
  <tableStyleInfo name="IR Organiza - Rendimentos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larissa@example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C6E2D-F2BD-41B4-9187-2813EA74F199}">
  <sheetPr>
    <tabColor rgb="FF17324D"/>
  </sheetPr>
  <dimension ref="A1:Q60"/>
  <sheetViews>
    <sheetView showGridLines="0" showRowColHeaders="0" tabSelected="1" zoomScale="60" zoomScaleNormal="60" workbookViewId="0">
      <selection activeCell="A54" sqref="A5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5" zeroHeight="1" x14ac:dyDescent="0.35"/>
  <cols>
    <col min="1" max="1" width="3.54296875" style="5" customWidth="1"/>
    <col min="2" max="11" width="12.6328125" style="35" customWidth="1"/>
    <col min="12" max="12" width="12.6328125" style="5" customWidth="1"/>
    <col min="13" max="13" width="8.7265625" style="5" customWidth="1"/>
    <col min="14" max="16384" width="8.7265625" style="5" hidden="1"/>
  </cols>
  <sheetData>
    <row r="1" spans="2:8" s="4" customFormat="1" x14ac:dyDescent="0.35"/>
    <row r="2" spans="2:8" s="4" customFormat="1" x14ac:dyDescent="0.35"/>
    <row r="3" spans="2:8" s="4" customFormat="1" x14ac:dyDescent="0.35"/>
    <row r="4" spans="2:8" s="4" customFormat="1" x14ac:dyDescent="0.35"/>
    <row r="5" spans="2:8" s="4" customFormat="1" x14ac:dyDescent="0.35"/>
    <row r="6" spans="2:8" s="4" customFormat="1" x14ac:dyDescent="0.35"/>
    <row r="7" spans="2:8" s="4" customFormat="1" x14ac:dyDescent="0.35"/>
    <row r="8" spans="2:8" s="4" customFormat="1" x14ac:dyDescent="0.35"/>
    <row r="9" spans="2:8" s="5" customFormat="1" x14ac:dyDescent="0.35"/>
    <row r="10" spans="2:8" s="5" customFormat="1" x14ac:dyDescent="0.35"/>
    <row r="11" spans="2:8" s="5" customFormat="1" x14ac:dyDescent="0.35">
      <c r="B11" s="11"/>
      <c r="C11" s="11"/>
      <c r="D11" s="11"/>
      <c r="F11" s="11"/>
      <c r="G11" s="11"/>
      <c r="H11" s="11"/>
    </row>
    <row r="12" spans="2:8" s="5" customFormat="1" x14ac:dyDescent="0.35">
      <c r="B12" s="12"/>
      <c r="C12" s="12"/>
      <c r="D12" s="12"/>
      <c r="F12" s="12"/>
      <c r="G12" s="12"/>
      <c r="H12" s="12"/>
    </row>
    <row r="13" spans="2:8" s="5" customFormat="1" x14ac:dyDescent="0.35">
      <c r="B13" s="12"/>
      <c r="C13" s="12"/>
      <c r="D13" s="12"/>
      <c r="F13" s="12"/>
      <c r="G13" s="12"/>
      <c r="H13" s="12"/>
    </row>
    <row r="14" spans="2:8" s="5" customFormat="1" x14ac:dyDescent="0.35"/>
    <row r="15" spans="2:8" s="5" customFormat="1" x14ac:dyDescent="0.35"/>
    <row r="16" spans="2:8" s="5" customFormat="1" ht="18.5" x14ac:dyDescent="0.45">
      <c r="B16" s="13"/>
    </row>
    <row r="17" spans="2:17" x14ac:dyDescent="0.35"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2:17" x14ac:dyDescent="0.3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7" x14ac:dyDescent="0.35"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2:17" x14ac:dyDescent="0.35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7" x14ac:dyDescent="0.35"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2:17" x14ac:dyDescent="0.3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7" x14ac:dyDescent="0.35"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2:17" x14ac:dyDescent="0.35"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2:17" x14ac:dyDescent="0.35">
      <c r="B25" s="5"/>
      <c r="C25" s="5"/>
      <c r="D25" s="5"/>
      <c r="E25" s="5"/>
      <c r="F25" s="5"/>
      <c r="G25" s="5"/>
      <c r="H25" s="5"/>
      <c r="I25" s="5"/>
      <c r="J25" s="5"/>
      <c r="K25" s="5"/>
      <c r="N25" s="14">
        <v>0</v>
      </c>
      <c r="P25" s="15" t="s">
        <v>67</v>
      </c>
      <c r="Q25" s="16" t="s">
        <v>68</v>
      </c>
    </row>
    <row r="26" spans="2:17" ht="23.5" x14ac:dyDescent="0.55000000000000004">
      <c r="B26" s="5"/>
      <c r="C26" s="5"/>
      <c r="D26" s="5"/>
      <c r="E26" s="5"/>
      <c r="F26" s="5"/>
      <c r="G26" s="5"/>
      <c r="H26" s="5"/>
      <c r="I26" s="5"/>
      <c r="J26" s="5"/>
      <c r="K26" s="5"/>
      <c r="P26" s="17">
        <f>IFERROR(COUNTIF(DOCUMENTOS!F14:F51,"SIM")/COUNTA(DOCUMENTOS!C14:C51),0)</f>
        <v>0.8</v>
      </c>
      <c r="Q26" s="14">
        <f>1-P26</f>
        <v>0.19999999999999996</v>
      </c>
    </row>
    <row r="27" spans="2:17" x14ac:dyDescent="0.35"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2:17" x14ac:dyDescent="0.35"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2:17" x14ac:dyDescent="0.35"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2:17" x14ac:dyDescent="0.35"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2:17" x14ac:dyDescent="0.35"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2:17" x14ac:dyDescent="0.35"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2:11" x14ac:dyDescent="0.35"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2:11" x14ac:dyDescent="0.35"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2:11" x14ac:dyDescent="0.35"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2:11" x14ac:dyDescent="0.35"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2:11" x14ac:dyDescent="0.35"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2:11" x14ac:dyDescent="0.35"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2:11" x14ac:dyDescent="0.35"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2:11" x14ac:dyDescent="0.35"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2:11" x14ac:dyDescent="0.35"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2:11" x14ac:dyDescent="0.35"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2:11" x14ac:dyDescent="0.35"/>
    <row r="44" spans="2:11" x14ac:dyDescent="0.35"/>
    <row r="45" spans="2:11" x14ac:dyDescent="0.35">
      <c r="B45" s="81">
        <f>SUM(RENDIMENTOS!G:G)</f>
        <v>27006.3</v>
      </c>
      <c r="C45" s="40"/>
      <c r="E45" s="82"/>
      <c r="F45" s="86" t="s">
        <v>243</v>
      </c>
      <c r="G45" s="86"/>
      <c r="H45" s="86"/>
    </row>
    <row r="46" spans="2:11" ht="22" customHeight="1" x14ac:dyDescent="0.35">
      <c r="B46" s="40">
        <f>COUNTA(BANCOS!D13,BANCOS!D26,BANCOS!D39)</f>
        <v>3</v>
      </c>
      <c r="C46" s="40"/>
      <c r="E46" s="82"/>
      <c r="F46" s="85" t="s">
        <v>244</v>
      </c>
      <c r="G46" s="84" t="s">
        <v>245</v>
      </c>
      <c r="H46" s="83" t="s">
        <v>247</v>
      </c>
    </row>
    <row r="47" spans="2:11" ht="18" customHeight="1" x14ac:dyDescent="0.35">
      <c r="B47" s="40">
        <f>COUNTIF(DOCUMENTOS!F14:F51,"SIM")</f>
        <v>8</v>
      </c>
      <c r="C47" s="40"/>
      <c r="E47" s="82"/>
      <c r="F47" s="87" t="s">
        <v>246</v>
      </c>
      <c r="G47" s="87"/>
      <c r="H47" s="87"/>
    </row>
    <row r="48" spans="2:11" x14ac:dyDescent="0.35">
      <c r="B48" s="40">
        <f>COUNTIF(DOCUMENTOS!H14:H51,"PENDENTE")+COUNTIF(DOCUMENTOS!H14:H51,"INCOMPLETO")</f>
        <v>2</v>
      </c>
      <c r="C48" s="40"/>
      <c r="E48" s="82"/>
    </row>
    <row r="49" spans="5:11" x14ac:dyDescent="0.35">
      <c r="E49" s="82"/>
      <c r="G49" s="82"/>
      <c r="H49" s="82"/>
    </row>
    <row r="50" spans="5:11" x14ac:dyDescent="0.35">
      <c r="E50" s="82"/>
      <c r="F50" s="3"/>
      <c r="G50" s="82"/>
      <c r="H50" s="82"/>
    </row>
    <row r="51" spans="5:11" x14ac:dyDescent="0.35">
      <c r="E51" s="82"/>
      <c r="G51" s="82"/>
      <c r="H51" s="82"/>
      <c r="I51" s="82"/>
      <c r="J51" s="82"/>
      <c r="K51" s="82"/>
    </row>
    <row r="52" spans="5:11" x14ac:dyDescent="0.35">
      <c r="E52" s="82"/>
      <c r="F52" s="82"/>
      <c r="G52" s="82"/>
      <c r="H52" s="82"/>
      <c r="I52" s="82"/>
      <c r="J52" s="82"/>
      <c r="K52" s="82"/>
    </row>
    <row r="53" spans="5:11" x14ac:dyDescent="0.35">
      <c r="E53" s="82"/>
      <c r="F53" s="82"/>
      <c r="G53" s="82"/>
      <c r="H53" s="82"/>
      <c r="I53" s="82"/>
      <c r="J53" s="82"/>
      <c r="K53" s="82"/>
    </row>
    <row r="54" spans="5:11" x14ac:dyDescent="0.35">
      <c r="E54" s="82"/>
      <c r="F54" s="82"/>
      <c r="G54" s="82"/>
      <c r="H54" s="82"/>
      <c r="I54" s="82"/>
      <c r="J54" s="82"/>
      <c r="K54" s="82"/>
    </row>
    <row r="55" spans="5:11" hidden="1" x14ac:dyDescent="0.35">
      <c r="E55" s="82"/>
      <c r="F55" s="82"/>
      <c r="G55" s="82"/>
      <c r="H55" s="82"/>
      <c r="I55" s="82"/>
      <c r="J55" s="82"/>
      <c r="K55" s="82"/>
    </row>
    <row r="56" spans="5:11" hidden="1" x14ac:dyDescent="0.35">
      <c r="E56" s="82"/>
      <c r="F56" s="82"/>
      <c r="G56" s="82"/>
      <c r="H56" s="82"/>
      <c r="I56" s="82"/>
      <c r="J56" s="82"/>
      <c r="K56" s="82"/>
    </row>
    <row r="57" spans="5:11" hidden="1" x14ac:dyDescent="0.35">
      <c r="E57" s="82"/>
      <c r="F57" s="82"/>
      <c r="G57" s="82"/>
      <c r="H57" s="82"/>
      <c r="I57" s="82"/>
      <c r="J57" s="82"/>
      <c r="K57" s="82"/>
    </row>
    <row r="58" spans="5:11" hidden="1" x14ac:dyDescent="0.35">
      <c r="E58" s="82"/>
      <c r="F58" s="82"/>
      <c r="G58" s="82"/>
      <c r="H58" s="82"/>
      <c r="I58" s="82"/>
      <c r="J58" s="82"/>
      <c r="K58" s="82"/>
    </row>
    <row r="59" spans="5:11" hidden="1" x14ac:dyDescent="0.35">
      <c r="E59" s="82"/>
      <c r="F59" s="82"/>
      <c r="G59" s="82"/>
      <c r="H59" s="82"/>
      <c r="I59" s="82"/>
      <c r="J59" s="82"/>
      <c r="K59" s="82"/>
    </row>
    <row r="60" spans="5:11" hidden="1" x14ac:dyDescent="0.35">
      <c r="E60" s="82"/>
      <c r="F60" s="82"/>
      <c r="G60" s="82"/>
      <c r="H60" s="82"/>
      <c r="I60" s="82"/>
      <c r="J60" s="82"/>
      <c r="K60" s="82"/>
    </row>
  </sheetData>
  <sheetProtection sheet="1" objects="1" scenarios="1" sort="0" autoFilter="0"/>
  <mergeCells count="6">
    <mergeCell ref="F47:H47"/>
    <mergeCell ref="B11:D11"/>
    <mergeCell ref="F11:H11"/>
    <mergeCell ref="B12:D13"/>
    <mergeCell ref="F12:H13"/>
    <mergeCell ref="F45:H45"/>
  </mergeCells>
  <conditionalFormatting sqref="N25">
    <cfRule type="dataBar" priority="1">
      <dataBar showValue="0">
        <cfvo type="num" val="0"/>
        <cfvo type="num" val="1"/>
        <color rgb="FF168C83"/>
      </dataBar>
      <extLst>
        <ext xmlns:x14="http://schemas.microsoft.com/office/spreadsheetml/2009/9/main" uri="{B025F937-C7B1-47D3-B67F-A62EFF666E3E}">
          <x14:id>{8BAD64CD-792D-41E4-9296-E08F6FFD4CD9}</x14:id>
        </ext>
      </extLst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AD64CD-792D-41E4-9296-E08F6FFD4CD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0B4B9-1973-446D-9374-9BA01AA39434}">
  <sheetPr>
    <tabColor rgb="FF17324D"/>
  </sheetPr>
  <dimension ref="A1:G54"/>
  <sheetViews>
    <sheetView showGridLines="0" showRowColHeaders="0" zoomScale="60" zoomScaleNormal="60" workbookViewId="0">
      <selection activeCell="A54" sqref="A5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5" zeroHeight="1" x14ac:dyDescent="0.35"/>
  <cols>
    <col min="1" max="1" width="29.90625" style="4" customWidth="1"/>
    <col min="2" max="2" width="8.7265625" style="5" customWidth="1"/>
    <col min="3" max="3" width="42.26953125" style="5" customWidth="1"/>
    <col min="4" max="4" width="43.26953125" style="5" customWidth="1"/>
    <col min="5" max="5" width="1.90625" style="5" customWidth="1"/>
    <col min="6" max="6" width="8.7265625" style="5" customWidth="1"/>
    <col min="7" max="7" width="14.81640625" style="5" customWidth="1"/>
    <col min="8" max="16384" width="8.7265625" style="5" hidden="1"/>
  </cols>
  <sheetData>
    <row r="1" spans="3:5" x14ac:dyDescent="0.35"/>
    <row r="2" spans="3:5" x14ac:dyDescent="0.35"/>
    <row r="3" spans="3:5" ht="19.5" x14ac:dyDescent="0.45">
      <c r="C3" s="6" t="s">
        <v>74</v>
      </c>
      <c r="D3" s="6"/>
      <c r="E3" s="6"/>
    </row>
    <row r="4" spans="3:5" x14ac:dyDescent="0.35">
      <c r="C4" s="38" t="s">
        <v>241</v>
      </c>
      <c r="D4" s="38"/>
    </row>
    <row r="5" spans="3:5" x14ac:dyDescent="0.35"/>
    <row r="6" spans="3:5" ht="16.5" x14ac:dyDescent="0.45">
      <c r="C6" s="9" t="s">
        <v>71</v>
      </c>
      <c r="D6" s="22" t="s">
        <v>88</v>
      </c>
    </row>
    <row r="7" spans="3:5" ht="16.5" x14ac:dyDescent="0.45">
      <c r="C7" s="18" t="s">
        <v>0</v>
      </c>
      <c r="D7" s="23">
        <v>12312312398</v>
      </c>
    </row>
    <row r="8" spans="3:5" ht="16.5" x14ac:dyDescent="0.45">
      <c r="C8" s="18" t="s">
        <v>72</v>
      </c>
      <c r="D8" s="24">
        <v>34605</v>
      </c>
    </row>
    <row r="9" spans="3:5" ht="16.5" x14ac:dyDescent="0.45">
      <c r="C9" s="18" t="s">
        <v>1</v>
      </c>
      <c r="D9" s="25">
        <v>31713388</v>
      </c>
    </row>
    <row r="10" spans="3:5" ht="16.5" x14ac:dyDescent="0.45">
      <c r="C10" s="18" t="s">
        <v>73</v>
      </c>
      <c r="D10" s="25" t="s">
        <v>89</v>
      </c>
    </row>
    <row r="11" spans="3:5" ht="16.5" x14ac:dyDescent="0.45">
      <c r="C11" s="18" t="s">
        <v>75</v>
      </c>
      <c r="D11" s="25" t="s">
        <v>90</v>
      </c>
    </row>
    <row r="12" spans="3:5" ht="19.5" x14ac:dyDescent="0.45">
      <c r="E12" s="21"/>
    </row>
    <row r="13" spans="3:5" ht="19.5" x14ac:dyDescent="0.45">
      <c r="C13" s="6" t="s">
        <v>237</v>
      </c>
      <c r="D13" s="6"/>
    </row>
    <row r="14" spans="3:5" x14ac:dyDescent="0.35"/>
    <row r="15" spans="3:5" ht="16.5" x14ac:dyDescent="0.45">
      <c r="C15" s="18" t="s">
        <v>69</v>
      </c>
      <c r="D15" s="25" t="s">
        <v>91</v>
      </c>
    </row>
    <row r="16" spans="3:5" ht="16.5" x14ac:dyDescent="0.45">
      <c r="C16" s="18" t="s">
        <v>70</v>
      </c>
      <c r="D16" s="26">
        <v>245</v>
      </c>
    </row>
    <row r="17" spans="3:6" ht="16.5" x14ac:dyDescent="0.45">
      <c r="C17" s="18" t="s">
        <v>76</v>
      </c>
      <c r="D17" s="27" t="s">
        <v>92</v>
      </c>
    </row>
    <row r="18" spans="3:6" ht="16.5" x14ac:dyDescent="0.45">
      <c r="C18" s="18" t="s">
        <v>77</v>
      </c>
      <c r="D18" s="27" t="s">
        <v>93</v>
      </c>
    </row>
    <row r="19" spans="3:6" ht="16.5" x14ac:dyDescent="0.45">
      <c r="C19" s="18" t="s">
        <v>78</v>
      </c>
      <c r="D19" s="27" t="s">
        <v>94</v>
      </c>
      <c r="E19" s="68"/>
      <c r="F19" s="68"/>
    </row>
    <row r="20" spans="3:6" ht="16.5" x14ac:dyDescent="0.45">
      <c r="C20" s="18" t="s">
        <v>79</v>
      </c>
      <c r="D20" s="27" t="s">
        <v>95</v>
      </c>
      <c r="E20" s="68"/>
      <c r="F20" s="68"/>
    </row>
    <row r="21" spans="3:6" ht="16.5" x14ac:dyDescent="0.45">
      <c r="C21" s="18" t="s">
        <v>2</v>
      </c>
      <c r="D21" s="28">
        <v>987654321</v>
      </c>
      <c r="E21" s="68"/>
      <c r="F21" s="68"/>
    </row>
    <row r="22" spans="3:6" ht="19.5" x14ac:dyDescent="0.45">
      <c r="E22" s="21"/>
      <c r="F22" s="68"/>
    </row>
    <row r="23" spans="3:6" ht="19.5" x14ac:dyDescent="0.45">
      <c r="C23" s="6" t="s">
        <v>238</v>
      </c>
      <c r="D23" s="6"/>
      <c r="E23" s="68"/>
      <c r="F23" s="68"/>
    </row>
    <row r="24" spans="3:6" ht="16.5" x14ac:dyDescent="0.45">
      <c r="C24" s="19"/>
      <c r="D24" s="20"/>
      <c r="E24" s="68"/>
      <c r="F24" s="68"/>
    </row>
    <row r="25" spans="3:6" ht="16.5" x14ac:dyDescent="0.45">
      <c r="C25" s="18" t="s">
        <v>3</v>
      </c>
      <c r="D25" s="29">
        <v>8131713388</v>
      </c>
      <c r="E25" s="68"/>
      <c r="F25" s="68"/>
    </row>
    <row r="26" spans="3:6" ht="16.5" x14ac:dyDescent="0.45">
      <c r="C26" s="18" t="s">
        <v>4</v>
      </c>
      <c r="D26" s="30">
        <v>81931713388</v>
      </c>
      <c r="E26" s="68"/>
      <c r="F26" s="68"/>
    </row>
    <row r="27" spans="3:6" ht="19.5" x14ac:dyDescent="0.45">
      <c r="C27" s="18" t="s">
        <v>5</v>
      </c>
      <c r="D27" s="31" t="s">
        <v>96</v>
      </c>
      <c r="E27" s="21"/>
      <c r="F27" s="68"/>
    </row>
    <row r="28" spans="3:6" ht="19.5" x14ac:dyDescent="0.45">
      <c r="E28" s="21"/>
      <c r="F28" s="68"/>
    </row>
    <row r="29" spans="3:6" ht="19.5" x14ac:dyDescent="0.45">
      <c r="C29" s="6" t="s">
        <v>239</v>
      </c>
      <c r="D29" s="6"/>
      <c r="E29" s="68"/>
      <c r="F29" s="68"/>
    </row>
    <row r="30" spans="3:6" ht="19.5" x14ac:dyDescent="0.45">
      <c r="C30" s="21"/>
      <c r="D30" s="21"/>
      <c r="E30" s="68"/>
      <c r="F30" s="68"/>
    </row>
    <row r="31" spans="3:6" ht="16.5" x14ac:dyDescent="0.45">
      <c r="C31" s="18" t="s">
        <v>80</v>
      </c>
      <c r="D31" s="25" t="s">
        <v>6</v>
      </c>
      <c r="E31" s="68"/>
      <c r="F31" s="68"/>
    </row>
    <row r="32" spans="3:6" ht="16.5" x14ac:dyDescent="0.45">
      <c r="C32" s="18" t="s">
        <v>81</v>
      </c>
      <c r="D32" s="25" t="s">
        <v>7</v>
      </c>
      <c r="E32" s="68"/>
      <c r="F32" s="68"/>
    </row>
    <row r="33" spans="3:6" ht="16.5" x14ac:dyDescent="0.45">
      <c r="C33" s="18" t="s">
        <v>82</v>
      </c>
      <c r="D33" s="25" t="s">
        <v>7</v>
      </c>
      <c r="E33" s="68"/>
      <c r="F33" s="68"/>
    </row>
    <row r="34" spans="3:6" ht="19.5" x14ac:dyDescent="0.45">
      <c r="C34" s="18" t="s">
        <v>83</v>
      </c>
      <c r="D34" s="25" t="s">
        <v>7</v>
      </c>
      <c r="E34" s="21"/>
      <c r="F34" s="68"/>
    </row>
    <row r="35" spans="3:6" ht="16.5" x14ac:dyDescent="0.45">
      <c r="C35" s="18" t="s">
        <v>84</v>
      </c>
      <c r="D35" s="25" t="s">
        <v>6</v>
      </c>
      <c r="E35" s="68"/>
      <c r="F35" s="68"/>
    </row>
    <row r="36" spans="3:6" ht="19.5" x14ac:dyDescent="0.45">
      <c r="E36" s="21"/>
      <c r="F36" s="68"/>
    </row>
    <row r="37" spans="3:6" ht="19.5" x14ac:dyDescent="0.45">
      <c r="C37" s="6" t="s">
        <v>240</v>
      </c>
      <c r="D37" s="6"/>
    </row>
    <row r="38" spans="3:6" ht="16.5" x14ac:dyDescent="0.45">
      <c r="C38" s="18" t="s">
        <v>71</v>
      </c>
      <c r="D38" s="22" t="s">
        <v>97</v>
      </c>
    </row>
    <row r="39" spans="3:6" ht="16.5" x14ac:dyDescent="0.45">
      <c r="C39" s="18" t="s">
        <v>0</v>
      </c>
      <c r="D39" s="23">
        <v>32112312398</v>
      </c>
    </row>
    <row r="40" spans="3:6" ht="16.5" x14ac:dyDescent="0.45">
      <c r="C40" s="18" t="s">
        <v>72</v>
      </c>
      <c r="D40" s="24">
        <v>45563</v>
      </c>
    </row>
    <row r="41" spans="3:6" ht="16.5" x14ac:dyDescent="0.45">
      <c r="C41" s="18" t="s">
        <v>85</v>
      </c>
      <c r="D41" s="25" t="s">
        <v>87</v>
      </c>
    </row>
    <row r="42" spans="3:6" ht="16.5" x14ac:dyDescent="0.45">
      <c r="C42" s="18" t="s">
        <v>86</v>
      </c>
      <c r="D42" s="25" t="s">
        <v>98</v>
      </c>
    </row>
    <row r="43" spans="3:6" x14ac:dyDescent="0.35"/>
    <row r="44" spans="3:6" x14ac:dyDescent="0.35"/>
    <row r="45" spans="3:6" x14ac:dyDescent="0.35"/>
    <row r="46" spans="3:6" x14ac:dyDescent="0.35"/>
    <row r="47" spans="3:6" x14ac:dyDescent="0.35"/>
    <row r="48" spans="3:6" x14ac:dyDescent="0.35"/>
    <row r="49" x14ac:dyDescent="0.35"/>
    <row r="50" x14ac:dyDescent="0.35"/>
    <row r="51" x14ac:dyDescent="0.35"/>
    <row r="52" x14ac:dyDescent="0.35"/>
    <row r="53" x14ac:dyDescent="0.35"/>
    <row r="54" x14ac:dyDescent="0.35"/>
  </sheetData>
  <sheetProtection sheet="1"/>
  <dataValidations count="4">
    <dataValidation type="list" allowBlank="1" showInputMessage="1" showErrorMessage="1" sqref="D31:D35" xr:uid="{98B6C0F3-0364-48E4-B0C1-58B64AF4E87E}">
      <formula1>"SIM,NÃO"</formula1>
    </dataValidation>
    <dataValidation type="list" allowBlank="1" showInputMessage="1" showErrorMessage="1" sqref="D10" xr:uid="{35AB9BB9-177D-48CA-B6DF-F4927CEB9BBE}">
      <formula1>"Solteiro(a), Casado(a), Divorciado(a), Viúvo(a), Separado(a) judicialmente"</formula1>
    </dataValidation>
    <dataValidation type="list" allowBlank="1" showInputMessage="1" showErrorMessage="1" sqref="D41" xr:uid="{055D9088-01FE-4F83-A253-5AEDD3FA4520}">
      <formula1>"Cônjuge ou companheiro(a),Filho(a),Enteado(a),Irmão(ã),Neto(a),Bisneto(a),Pai ou mãe,Avô ou avó,Bisavô ou bisavó,Menor sob guarda judicial,Tutelado(a) ou curatelado(a)"</formula1>
    </dataValidation>
    <dataValidation type="list" allowBlank="1" showInputMessage="1" showErrorMessage="1" sqref="D42" xr:uid="{EB214DB1-0F90-48F4-A37F-C47B3930F492}">
      <formula1>"Nenhuma,Primeiro ano na declaração,Guarda compartilhada,Possui rendimentos próprios,Documentação pendente,Necessita conferência,Outros"</formula1>
    </dataValidation>
  </dataValidations>
  <hyperlinks>
    <hyperlink ref="D27" r:id="rId1" xr:uid="{77AA3F17-9F2A-42D0-B8DD-BDAC031F42BF}"/>
  </hyperlinks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B6845-6A34-4BEE-AC14-69281391CECD}">
  <sheetPr>
    <tabColor rgb="FF17324D"/>
  </sheetPr>
  <dimension ref="A1:G54"/>
  <sheetViews>
    <sheetView showGridLines="0" showRowColHeaders="0" zoomScale="60" zoomScaleNormal="60" workbookViewId="0"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5" zeroHeight="1" x14ac:dyDescent="0.35"/>
  <cols>
    <col min="1" max="1" width="29.90625" style="4" customWidth="1"/>
    <col min="2" max="2" width="8.7265625" style="5" customWidth="1"/>
    <col min="3" max="3" width="42.26953125" style="5" customWidth="1"/>
    <col min="4" max="4" width="43.26953125" style="5" customWidth="1"/>
    <col min="5" max="5" width="1.90625" style="5" customWidth="1"/>
    <col min="6" max="6" width="8.7265625" style="5" customWidth="1"/>
    <col min="7" max="7" width="14.81640625" style="5" customWidth="1"/>
    <col min="8" max="16384" width="8.7265625" style="5" hidden="1"/>
  </cols>
  <sheetData>
    <row r="1" spans="3:7" x14ac:dyDescent="0.35"/>
    <row r="2" spans="3:7" x14ac:dyDescent="0.35"/>
    <row r="3" spans="3:7" ht="19.5" x14ac:dyDescent="0.45">
      <c r="C3" s="6" t="s">
        <v>113</v>
      </c>
      <c r="D3" s="6"/>
      <c r="E3" s="6"/>
    </row>
    <row r="4" spans="3:7" x14ac:dyDescent="0.35">
      <c r="C4" s="38" t="s">
        <v>242</v>
      </c>
      <c r="D4" s="38"/>
    </row>
    <row r="5" spans="3:7" x14ac:dyDescent="0.35"/>
    <row r="6" spans="3:7" x14ac:dyDescent="0.35"/>
    <row r="7" spans="3:7" ht="26" x14ac:dyDescent="0.6">
      <c r="F7" s="1">
        <f>SUM(D19,D32,D45)</f>
        <v>25971.35</v>
      </c>
      <c r="G7" s="2"/>
    </row>
    <row r="8" spans="3:7" x14ac:dyDescent="0.35"/>
    <row r="9" spans="3:7" x14ac:dyDescent="0.35"/>
    <row r="10" spans="3:7" ht="16.5" x14ac:dyDescent="0.45">
      <c r="C10" s="7"/>
    </row>
    <row r="11" spans="3:7" x14ac:dyDescent="0.35"/>
    <row r="12" spans="3:7" x14ac:dyDescent="0.35">
      <c r="C12" s="8" t="s">
        <v>9</v>
      </c>
    </row>
    <row r="13" spans="3:7" ht="16.5" x14ac:dyDescent="0.45">
      <c r="C13" s="9" t="s">
        <v>10</v>
      </c>
      <c r="D13" s="22" t="s">
        <v>11</v>
      </c>
    </row>
    <row r="14" spans="3:7" ht="16.5" x14ac:dyDescent="0.45">
      <c r="C14" s="9" t="s">
        <v>99</v>
      </c>
      <c r="D14" s="22" t="s">
        <v>108</v>
      </c>
    </row>
    <row r="15" spans="3:7" ht="16.5" x14ac:dyDescent="0.45">
      <c r="C15" s="9" t="s">
        <v>100</v>
      </c>
      <c r="D15" s="32">
        <v>1</v>
      </c>
    </row>
    <row r="16" spans="3:7" ht="16.5" x14ac:dyDescent="0.45">
      <c r="C16" s="9" t="s">
        <v>101</v>
      </c>
      <c r="D16" s="33">
        <v>123456789</v>
      </c>
    </row>
    <row r="17" spans="3:4" ht="16.5" x14ac:dyDescent="0.45">
      <c r="C17" s="9" t="s">
        <v>66</v>
      </c>
      <c r="D17" s="22">
        <v>2025</v>
      </c>
    </row>
    <row r="18" spans="3:4" ht="16.5" x14ac:dyDescent="0.45">
      <c r="C18" s="9" t="s">
        <v>105</v>
      </c>
      <c r="D18" s="34">
        <v>2850</v>
      </c>
    </row>
    <row r="19" spans="3:4" ht="16.5" x14ac:dyDescent="0.45">
      <c r="C19" s="9" t="s">
        <v>106</v>
      </c>
      <c r="D19" s="34">
        <v>5430.75</v>
      </c>
    </row>
    <row r="20" spans="3:4" ht="16.5" x14ac:dyDescent="0.45">
      <c r="C20" s="9" t="s">
        <v>102</v>
      </c>
      <c r="D20" s="22" t="s">
        <v>6</v>
      </c>
    </row>
    <row r="21" spans="3:4" ht="16.5" x14ac:dyDescent="0.45">
      <c r="C21" s="9" t="s">
        <v>103</v>
      </c>
      <c r="D21" s="10" t="str">
        <f>IF(OR(D13="",D14="",D15="",D16="",D17="",D18="",D19="",D20=""),"INCOMPLETO",IF(D20="SIM","CONCLUÍDO","PENDENTE"))</f>
        <v>CONCLUÍDO</v>
      </c>
    </row>
    <row r="22" spans="3:4" ht="16.5" x14ac:dyDescent="0.45">
      <c r="C22" s="9" t="s">
        <v>104</v>
      </c>
      <c r="D22" s="22" t="s">
        <v>109</v>
      </c>
    </row>
    <row r="23" spans="3:4" ht="16.5" x14ac:dyDescent="0.45">
      <c r="C23" s="9" t="s">
        <v>86</v>
      </c>
      <c r="D23" s="22" t="s">
        <v>110</v>
      </c>
    </row>
    <row r="24" spans="3:4" x14ac:dyDescent="0.35"/>
    <row r="25" spans="3:4" x14ac:dyDescent="0.35">
      <c r="C25" s="8" t="s">
        <v>9</v>
      </c>
    </row>
    <row r="26" spans="3:4" ht="16.5" x14ac:dyDescent="0.45">
      <c r="C26" s="9" t="s">
        <v>10</v>
      </c>
      <c r="D26" s="22" t="s">
        <v>59</v>
      </c>
    </row>
    <row r="27" spans="3:4" ht="16.5" x14ac:dyDescent="0.45">
      <c r="C27" s="9" t="s">
        <v>99</v>
      </c>
      <c r="D27" s="22" t="s">
        <v>107</v>
      </c>
    </row>
    <row r="28" spans="3:4" ht="16.5" x14ac:dyDescent="0.45">
      <c r="C28" s="9" t="s">
        <v>100</v>
      </c>
      <c r="D28" s="32">
        <v>1</v>
      </c>
    </row>
    <row r="29" spans="3:4" ht="16.5" x14ac:dyDescent="0.45">
      <c r="C29" s="9" t="s">
        <v>101</v>
      </c>
      <c r="D29" s="33" t="s">
        <v>112</v>
      </c>
    </row>
    <row r="30" spans="3:4" ht="16.5" x14ac:dyDescent="0.45">
      <c r="C30" s="9" t="s">
        <v>66</v>
      </c>
      <c r="D30" s="22">
        <v>2025</v>
      </c>
    </row>
    <row r="31" spans="3:4" ht="16.5" x14ac:dyDescent="0.45">
      <c r="C31" s="9" t="s">
        <v>105</v>
      </c>
      <c r="D31" s="34">
        <v>4500</v>
      </c>
    </row>
    <row r="32" spans="3:4" ht="16.5" x14ac:dyDescent="0.45">
      <c r="C32" s="9" t="s">
        <v>106</v>
      </c>
      <c r="D32" s="34">
        <v>7890.2</v>
      </c>
    </row>
    <row r="33" spans="3:4" ht="16.5" x14ac:dyDescent="0.45">
      <c r="C33" s="9" t="s">
        <v>102</v>
      </c>
      <c r="D33" s="22"/>
    </row>
    <row r="34" spans="3:4" ht="16.5" x14ac:dyDescent="0.45">
      <c r="C34" s="9" t="s">
        <v>103</v>
      </c>
      <c r="D34" s="10" t="str">
        <f>IF(OR(D26="",D27="",D28="",D29="",D30="",D31="",D32="",D33=""),"INCOMPLETO",IF(D33="SIM","CONCLUÍDO","PENDENTE"))</f>
        <v>INCOMPLETO</v>
      </c>
    </row>
    <row r="35" spans="3:4" ht="16.5" x14ac:dyDescent="0.45">
      <c r="C35" s="9" t="s">
        <v>104</v>
      </c>
      <c r="D35" s="22"/>
    </row>
    <row r="36" spans="3:4" ht="16.5" x14ac:dyDescent="0.45">
      <c r="C36" s="9" t="s">
        <v>86</v>
      </c>
      <c r="D36" s="22" t="s">
        <v>111</v>
      </c>
    </row>
    <row r="37" spans="3:4" x14ac:dyDescent="0.35"/>
    <row r="38" spans="3:4" x14ac:dyDescent="0.35">
      <c r="C38" s="8" t="s">
        <v>9</v>
      </c>
    </row>
    <row r="39" spans="3:4" ht="16.5" x14ac:dyDescent="0.45">
      <c r="C39" s="9" t="s">
        <v>10</v>
      </c>
      <c r="D39" s="22" t="s">
        <v>13</v>
      </c>
    </row>
    <row r="40" spans="3:4" ht="16.5" x14ac:dyDescent="0.45">
      <c r="C40" s="9" t="s">
        <v>99</v>
      </c>
      <c r="D40" s="22" t="s">
        <v>108</v>
      </c>
    </row>
    <row r="41" spans="3:4" ht="16.5" x14ac:dyDescent="0.45">
      <c r="C41" s="9" t="s">
        <v>100</v>
      </c>
      <c r="D41" s="32">
        <v>1234</v>
      </c>
    </row>
    <row r="42" spans="3:4" ht="16.5" x14ac:dyDescent="0.45">
      <c r="C42" s="9" t="s">
        <v>101</v>
      </c>
      <c r="D42" s="33">
        <v>987654321</v>
      </c>
    </row>
    <row r="43" spans="3:4" ht="16.5" x14ac:dyDescent="0.45">
      <c r="C43" s="9" t="s">
        <v>66</v>
      </c>
      <c r="D43" s="22">
        <v>2025</v>
      </c>
    </row>
    <row r="44" spans="3:4" ht="16.5" x14ac:dyDescent="0.45">
      <c r="C44" s="9" t="s">
        <v>105</v>
      </c>
      <c r="D44" s="34">
        <v>8200</v>
      </c>
    </row>
    <row r="45" spans="3:4" ht="16.5" x14ac:dyDescent="0.45">
      <c r="C45" s="9" t="s">
        <v>106</v>
      </c>
      <c r="D45" s="34">
        <v>12650.4</v>
      </c>
    </row>
    <row r="46" spans="3:4" ht="16.5" x14ac:dyDescent="0.45">
      <c r="C46" s="9" t="s">
        <v>102</v>
      </c>
      <c r="D46" s="22" t="s">
        <v>7</v>
      </c>
    </row>
    <row r="47" spans="3:4" ht="16.5" x14ac:dyDescent="0.45">
      <c r="C47" s="9" t="s">
        <v>103</v>
      </c>
      <c r="D47" s="10" t="str">
        <f>IF(OR(D39="",D40="",D41="",D42="",D43="",D44="",D45="",D46=""),"INCOMPLETO",IF(D46="SIM","CONCLUÍDO","PENDENTE"))</f>
        <v>PENDENTE</v>
      </c>
    </row>
    <row r="48" spans="3:4" ht="16.5" x14ac:dyDescent="0.45">
      <c r="C48" s="9" t="s">
        <v>104</v>
      </c>
      <c r="D48" s="22"/>
    </row>
    <row r="49" spans="3:4" ht="16.5" x14ac:dyDescent="0.45">
      <c r="C49" s="9" t="s">
        <v>86</v>
      </c>
      <c r="D49" s="22" t="s">
        <v>111</v>
      </c>
    </row>
    <row r="50" spans="3:4" x14ac:dyDescent="0.35"/>
    <row r="51" spans="3:4" x14ac:dyDescent="0.35"/>
    <row r="52" spans="3:4" x14ac:dyDescent="0.35"/>
    <row r="53" spans="3:4" x14ac:dyDescent="0.35"/>
    <row r="54" spans="3:4" x14ac:dyDescent="0.35"/>
  </sheetData>
  <sheetProtection sheet="1"/>
  <mergeCells count="1">
    <mergeCell ref="F7:G7"/>
  </mergeCells>
  <conditionalFormatting sqref="D21">
    <cfRule type="containsText" dxfId="20" priority="7" stopIfTrue="1" operator="containsText" text="PENDENTE">
      <formula>NOT(ISERROR(SEARCH("PENDENTE",D21)))</formula>
    </cfRule>
    <cfRule type="containsText" dxfId="19" priority="8" operator="containsText" text="INCOMPLETO">
      <formula>NOT(ISERROR(SEARCH("INCOMPLETO",D21)))</formula>
    </cfRule>
    <cfRule type="containsText" dxfId="18" priority="9" operator="containsText" text="CONCLUÍDO">
      <formula>NOT(ISERROR(SEARCH("CONCLUÍDO",D21)))</formula>
    </cfRule>
  </conditionalFormatting>
  <conditionalFormatting sqref="D34">
    <cfRule type="containsText" dxfId="17" priority="4" stopIfTrue="1" operator="containsText" text="PENDENTE">
      <formula>NOT(ISERROR(SEARCH("PENDENTE",D34)))</formula>
    </cfRule>
    <cfRule type="containsText" dxfId="16" priority="5" operator="containsText" text="INCOMPLETO">
      <formula>NOT(ISERROR(SEARCH("INCOMPLETO",D34)))</formula>
    </cfRule>
    <cfRule type="containsText" dxfId="15" priority="6" operator="containsText" text="CONCLUÍDO">
      <formula>NOT(ISERROR(SEARCH("CONCLUÍDO",D34)))</formula>
    </cfRule>
  </conditionalFormatting>
  <conditionalFormatting sqref="D47">
    <cfRule type="containsText" dxfId="14" priority="1" stopIfTrue="1" operator="containsText" text="PENDENTE">
      <formula>NOT(ISERROR(SEARCH("PENDENTE",D47)))</formula>
    </cfRule>
    <cfRule type="containsText" dxfId="13" priority="2" operator="containsText" text="INCOMPLETO">
      <formula>NOT(ISERROR(SEARCH("INCOMPLETO",D47)))</formula>
    </cfRule>
    <cfRule type="containsText" dxfId="12" priority="3" operator="containsText" text="CONCLUÍDO">
      <formula>NOT(ISERROR(SEARCH("CONCLUÍDO",D47)))</formula>
    </cfRule>
  </conditionalFormatting>
  <dataValidations disablePrompts="1" count="5">
    <dataValidation type="list" allowBlank="1" showInputMessage="1" showErrorMessage="1" sqref="D17 D30 D43" xr:uid="{71743260-6991-49AD-8646-13D2A9F5177B}">
      <formula1>"2024,2025,2026,2027,2028,2029,2030"</formula1>
    </dataValidation>
    <dataValidation type="list" allowBlank="1" showInputMessage="1" showErrorMessage="1" sqref="D20 D33 D46" xr:uid="{95410924-2D5A-4AB0-B024-8229D00509FF}">
      <formula1>"SIM,NÃO"</formula1>
    </dataValidation>
    <dataValidation type="list" allowBlank="1" showInputMessage="1" showErrorMessage="1" sqref="D23 D36 D49" xr:uid="{8B166FE6-FEEB-47E9-87C1-34AA9D15B968}">
      <formula1>"Nenhuma,Dados conferidos,Aguardando informe bancário,Informe divergente,Saldo pendente de conferência,Conta encerrada,Documentação pendente,Necessita atualização,Outros"</formula1>
    </dataValidation>
    <dataValidation type="list" allowBlank="1" showInputMessage="1" showErrorMessage="1" errorTitle="Banco não encontrado" error="Informe um banco da lista" promptTitle="Informe um banco" prompt="Informe um banco vínculado ao seu CPF" sqref="D13 D26 D39" xr:uid="{28BBD4D7-C38C-45B4-94DC-04BC444F46E8}">
      <formula1>ListaBancos</formula1>
    </dataValidation>
    <dataValidation type="list" allowBlank="1" showInputMessage="1" showErrorMessage="1" sqref="D27 D14 D40" xr:uid="{89BB2C7E-52CC-4108-A70C-A1990BE6F091}">
      <formula1>ListaContas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5CB06-246E-48D5-9454-91C04592B008}">
  <sheetPr>
    <tabColor rgb="FF17324D"/>
  </sheetPr>
  <dimension ref="A1:M54"/>
  <sheetViews>
    <sheetView showGridLines="0" showRowColHeaders="0" zoomScale="60" zoomScaleNormal="60" workbookViewId="0">
      <pane xSplit="1" topLeftCell="B1" activePane="topRight" state="frozen"/>
      <selection pane="topRight" activeCell="A54" sqref="A5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5" zeroHeight="1" x14ac:dyDescent="0.35"/>
  <cols>
    <col min="1" max="1" width="29.90625" style="4" customWidth="1"/>
    <col min="2" max="2" width="8.7265625" style="5" customWidth="1"/>
    <col min="3" max="3" width="12.453125" style="5" customWidth="1"/>
    <col min="4" max="4" width="22.81640625" style="5" customWidth="1"/>
    <col min="5" max="5" width="13.7265625" style="5" customWidth="1"/>
    <col min="6" max="6" width="16.90625" style="5" customWidth="1"/>
    <col min="7" max="7" width="12.08984375" style="5" customWidth="1"/>
    <col min="8" max="8" width="9.36328125" style="5" customWidth="1"/>
    <col min="9" max="9" width="15" style="5" customWidth="1"/>
    <col min="10" max="10" width="8.7265625" style="5" customWidth="1"/>
    <col min="11" max="11" width="9" style="5" hidden="1" customWidth="1"/>
    <col min="12" max="12" width="11.36328125" style="35" hidden="1"/>
    <col min="13" max="16384" width="8.7265625" style="5" hidden="1"/>
  </cols>
  <sheetData>
    <row r="1" spans="1:13" x14ac:dyDescent="0.35">
      <c r="J1" s="66"/>
    </row>
    <row r="2" spans="1:13" x14ac:dyDescent="0.35">
      <c r="J2" s="66"/>
    </row>
    <row r="3" spans="1:13" ht="19.5" x14ac:dyDescent="0.45">
      <c r="C3" s="6" t="s">
        <v>114</v>
      </c>
      <c r="D3" s="6"/>
      <c r="E3" s="6"/>
      <c r="F3" s="4"/>
      <c r="G3" s="4"/>
      <c r="H3" s="4"/>
      <c r="J3" s="36">
        <f>SUM(G:G)</f>
        <v>27006.3</v>
      </c>
      <c r="L3" s="89"/>
      <c r="M3" s="90"/>
    </row>
    <row r="4" spans="1:13" x14ac:dyDescent="0.35">
      <c r="C4" s="38" t="s">
        <v>115</v>
      </c>
      <c r="D4" s="38"/>
      <c r="E4" s="38"/>
      <c r="J4" s="36">
        <f>SUM(H:H)</f>
        <v>2250</v>
      </c>
      <c r="K4" s="90"/>
      <c r="L4" s="89"/>
      <c r="M4" s="90"/>
    </row>
    <row r="5" spans="1:13" x14ac:dyDescent="0.35">
      <c r="J5" s="39">
        <f>COUNTIF(I:I,"PENDENTE")+COUNTIF(I:I,"INCOMPLETO")</f>
        <v>1</v>
      </c>
      <c r="K5" s="90"/>
      <c r="L5" s="82"/>
      <c r="M5" s="90"/>
    </row>
    <row r="6" spans="1:13" x14ac:dyDescent="0.35">
      <c r="J6" s="66"/>
      <c r="K6" s="90"/>
      <c r="L6" s="82"/>
      <c r="M6" s="90"/>
    </row>
    <row r="7" spans="1:13" x14ac:dyDescent="0.35">
      <c r="J7" s="66"/>
      <c r="K7" s="90"/>
      <c r="L7" s="82"/>
      <c r="M7" s="90"/>
    </row>
    <row r="8" spans="1:13" x14ac:dyDescent="0.35">
      <c r="J8" s="66"/>
      <c r="K8" s="90"/>
      <c r="L8" s="82"/>
      <c r="M8" s="90"/>
    </row>
    <row r="9" spans="1:13" x14ac:dyDescent="0.35">
      <c r="J9" s="66"/>
      <c r="K9" s="90"/>
      <c r="L9" s="82"/>
      <c r="M9" s="90"/>
    </row>
    <row r="10" spans="1:13" x14ac:dyDescent="0.35">
      <c r="J10" s="90"/>
      <c r="K10" s="90"/>
      <c r="L10" s="82"/>
      <c r="M10" s="90"/>
    </row>
    <row r="11" spans="1:13" x14ac:dyDescent="0.35">
      <c r="J11" s="90"/>
      <c r="K11" s="90"/>
      <c r="L11" s="82"/>
      <c r="M11" s="90"/>
    </row>
    <row r="12" spans="1:13" s="42" customFormat="1" ht="22" customHeight="1" x14ac:dyDescent="0.35">
      <c r="A12" s="41"/>
      <c r="C12" s="43" t="s">
        <v>62</v>
      </c>
      <c r="D12" s="43"/>
      <c r="E12" s="43"/>
      <c r="F12" s="43"/>
      <c r="G12" s="43"/>
      <c r="H12" s="43"/>
      <c r="I12" s="43"/>
      <c r="J12" s="92"/>
      <c r="K12" s="92"/>
      <c r="L12" s="91"/>
      <c r="M12" s="92"/>
    </row>
    <row r="13" spans="1:13" ht="26" x14ac:dyDescent="0.35">
      <c r="C13" s="45" t="s">
        <v>63</v>
      </c>
      <c r="D13" s="45" t="s">
        <v>116</v>
      </c>
      <c r="E13" s="45" t="s">
        <v>117</v>
      </c>
      <c r="F13" s="45" t="s">
        <v>118</v>
      </c>
      <c r="G13" s="45" t="s">
        <v>119</v>
      </c>
      <c r="H13" s="45" t="s">
        <v>120</v>
      </c>
      <c r="I13" s="45" t="s">
        <v>103</v>
      </c>
      <c r="J13" s="90"/>
      <c r="K13" s="90"/>
      <c r="L13" s="82"/>
      <c r="M13" s="90"/>
    </row>
    <row r="14" spans="1:13" ht="32" customHeight="1" x14ac:dyDescent="0.35">
      <c r="C14" s="48">
        <v>45662</v>
      </c>
      <c r="D14" s="49" t="s">
        <v>121</v>
      </c>
      <c r="E14" s="50">
        <v>12345678900</v>
      </c>
      <c r="F14" s="51" t="s">
        <v>122</v>
      </c>
      <c r="G14" s="52">
        <v>4500</v>
      </c>
      <c r="H14" s="52">
        <v>450</v>
      </c>
      <c r="I14" s="46" t="str">
        <f>IF(COUNTA(C14:H14)=0,"",IF(OR(C14="",D14="",E14="",F14="",G14="",H14=""),"INCOMPLETO","CONCLUÍDO"))</f>
        <v>CONCLUÍDO</v>
      </c>
      <c r="J14" s="90"/>
      <c r="K14" s="90"/>
      <c r="L14" s="82"/>
      <c r="M14" s="90"/>
    </row>
    <row r="15" spans="1:13" ht="16" x14ac:dyDescent="0.35">
      <c r="C15" s="48">
        <v>45663</v>
      </c>
      <c r="D15" s="49" t="s">
        <v>121</v>
      </c>
      <c r="E15" s="50">
        <v>23456789000</v>
      </c>
      <c r="F15" s="51" t="s">
        <v>122</v>
      </c>
      <c r="G15" s="52">
        <v>4500</v>
      </c>
      <c r="H15" s="52">
        <v>450</v>
      </c>
      <c r="I15" s="46" t="str">
        <f t="shared" ref="I15:I50" si="0">IF(COUNTA(C15:H15)=0,"",IF(OR(C15="",D15="",E15="",F15="",G15="",H15=""),"INCOMPLETO","CONCLUÍDO"))</f>
        <v>CONCLUÍDO</v>
      </c>
      <c r="J15" s="90"/>
      <c r="K15" s="90"/>
      <c r="L15" s="82"/>
      <c r="M15" s="90"/>
    </row>
    <row r="16" spans="1:13" ht="16" x14ac:dyDescent="0.35">
      <c r="C16" s="48">
        <v>45664</v>
      </c>
      <c r="D16" s="49" t="s">
        <v>121</v>
      </c>
      <c r="E16" s="50">
        <v>34567890100</v>
      </c>
      <c r="F16" s="51" t="s">
        <v>122</v>
      </c>
      <c r="G16" s="52">
        <v>4500</v>
      </c>
      <c r="H16" s="52">
        <v>450</v>
      </c>
      <c r="I16" s="46" t="str">
        <f t="shared" si="0"/>
        <v>CONCLUÍDO</v>
      </c>
      <c r="J16" s="90"/>
      <c r="K16" s="90"/>
      <c r="L16" s="82"/>
      <c r="M16" s="90"/>
    </row>
    <row r="17" spans="3:11" ht="16" x14ac:dyDescent="0.35">
      <c r="C17" s="48">
        <v>45665</v>
      </c>
      <c r="D17" s="49" t="s">
        <v>123</v>
      </c>
      <c r="E17" s="50">
        <v>45678901200</v>
      </c>
      <c r="F17" s="51" t="s">
        <v>124</v>
      </c>
      <c r="G17" s="52">
        <v>1800</v>
      </c>
      <c r="H17" s="52">
        <v>0</v>
      </c>
      <c r="I17" s="46" t="str">
        <f t="shared" si="0"/>
        <v>CONCLUÍDO</v>
      </c>
      <c r="J17" s="90"/>
      <c r="K17" s="90"/>
    </row>
    <row r="18" spans="3:11" ht="16" x14ac:dyDescent="0.35">
      <c r="C18" s="48">
        <v>45666</v>
      </c>
      <c r="D18" s="49" t="s">
        <v>125</v>
      </c>
      <c r="E18" s="50">
        <v>56789012300</v>
      </c>
      <c r="F18" s="51" t="s">
        <v>126</v>
      </c>
      <c r="G18" s="52">
        <v>2200</v>
      </c>
      <c r="H18" s="52">
        <v>0</v>
      </c>
      <c r="I18" s="46" t="str">
        <f t="shared" si="0"/>
        <v>CONCLUÍDO</v>
      </c>
      <c r="J18" s="90"/>
      <c r="K18" s="90"/>
    </row>
    <row r="19" spans="3:11" ht="16" x14ac:dyDescent="0.35">
      <c r="C19" s="48">
        <v>45667</v>
      </c>
      <c r="D19" s="49" t="s">
        <v>127</v>
      </c>
      <c r="E19" s="50">
        <v>67890123400</v>
      </c>
      <c r="F19" s="51" t="s">
        <v>128</v>
      </c>
      <c r="G19" s="52">
        <v>180.5</v>
      </c>
      <c r="H19" s="52">
        <v>0</v>
      </c>
      <c r="I19" s="46" t="str">
        <f t="shared" si="0"/>
        <v>CONCLUÍDO</v>
      </c>
      <c r="J19" s="90"/>
      <c r="K19" s="90"/>
    </row>
    <row r="20" spans="3:11" ht="32" x14ac:dyDescent="0.35">
      <c r="C20" s="48">
        <v>45668</v>
      </c>
      <c r="D20" s="49" t="s">
        <v>127</v>
      </c>
      <c r="E20" s="50">
        <v>78901234500</v>
      </c>
      <c r="F20" s="51" t="s">
        <v>129</v>
      </c>
      <c r="G20" s="52">
        <v>325.8</v>
      </c>
      <c r="H20" s="52">
        <v>0</v>
      </c>
      <c r="I20" s="46" t="str">
        <f t="shared" si="0"/>
        <v>CONCLUÍDO</v>
      </c>
      <c r="J20" s="90"/>
      <c r="K20" s="90"/>
    </row>
    <row r="21" spans="3:11" ht="16" x14ac:dyDescent="0.35">
      <c r="C21" s="48">
        <v>45669</v>
      </c>
      <c r="D21" s="49" t="s">
        <v>121</v>
      </c>
      <c r="E21" s="50">
        <v>89012345600</v>
      </c>
      <c r="F21" s="51" t="s">
        <v>122</v>
      </c>
      <c r="G21" s="52">
        <v>4500</v>
      </c>
      <c r="H21" s="52">
        <v>450</v>
      </c>
      <c r="I21" s="46" t="str">
        <f t="shared" si="0"/>
        <v>CONCLUÍDO</v>
      </c>
      <c r="J21" s="90"/>
      <c r="K21" s="90"/>
    </row>
    <row r="22" spans="3:11" ht="16" x14ac:dyDescent="0.35">
      <c r="C22" s="48">
        <v>45670</v>
      </c>
      <c r="D22" s="49" t="s">
        <v>121</v>
      </c>
      <c r="E22" s="50">
        <v>90123456700</v>
      </c>
      <c r="F22" s="51" t="s">
        <v>122</v>
      </c>
      <c r="G22" s="52">
        <v>4500</v>
      </c>
      <c r="H22" s="52">
        <v>450</v>
      </c>
      <c r="I22" s="46" t="str">
        <f t="shared" si="0"/>
        <v>CONCLUÍDO</v>
      </c>
      <c r="J22" s="90"/>
      <c r="K22" s="90"/>
    </row>
    <row r="23" spans="3:11" ht="16" x14ac:dyDescent="0.35">
      <c r="C23" s="48">
        <v>45671</v>
      </c>
      <c r="D23" s="49" t="s">
        <v>121</v>
      </c>
      <c r="E23" s="50">
        <v>11223344500</v>
      </c>
      <c r="F23" s="51" t="s">
        <v>130</v>
      </c>
      <c r="G23" s="51"/>
      <c r="H23" s="52"/>
      <c r="I23" s="46" t="str">
        <f t="shared" si="0"/>
        <v>INCOMPLETO</v>
      </c>
      <c r="J23" s="90"/>
      <c r="K23" s="90"/>
    </row>
    <row r="24" spans="3:11" ht="16" x14ac:dyDescent="0.35">
      <c r="C24" s="48"/>
      <c r="D24" s="49"/>
      <c r="E24" s="50"/>
      <c r="F24" s="51"/>
      <c r="G24" s="51"/>
      <c r="H24" s="52"/>
      <c r="I24" s="46" t="str">
        <f t="shared" si="0"/>
        <v/>
      </c>
    </row>
    <row r="25" spans="3:11" ht="16" x14ac:dyDescent="0.35">
      <c r="C25" s="48"/>
      <c r="D25" s="49"/>
      <c r="E25" s="50"/>
      <c r="F25" s="51"/>
      <c r="G25" s="51"/>
      <c r="H25" s="52"/>
      <c r="I25" s="46" t="str">
        <f t="shared" si="0"/>
        <v/>
      </c>
    </row>
    <row r="26" spans="3:11" ht="16" x14ac:dyDescent="0.35">
      <c r="C26" s="51"/>
      <c r="D26" s="49"/>
      <c r="E26" s="50"/>
      <c r="F26" s="51"/>
      <c r="G26" s="51"/>
      <c r="H26" s="52"/>
      <c r="I26" s="46" t="str">
        <f t="shared" si="0"/>
        <v/>
      </c>
    </row>
    <row r="27" spans="3:11" ht="16" x14ac:dyDescent="0.35">
      <c r="C27" s="51"/>
      <c r="D27" s="49"/>
      <c r="E27" s="50"/>
      <c r="F27" s="51"/>
      <c r="G27" s="51"/>
      <c r="H27" s="52"/>
      <c r="I27" s="46" t="str">
        <f t="shared" si="0"/>
        <v/>
      </c>
    </row>
    <row r="28" spans="3:11" ht="16" x14ac:dyDescent="0.35">
      <c r="C28" s="51"/>
      <c r="D28" s="49"/>
      <c r="E28" s="50"/>
      <c r="F28" s="51"/>
      <c r="G28" s="51"/>
      <c r="H28" s="52"/>
      <c r="I28" s="46" t="str">
        <f t="shared" si="0"/>
        <v/>
      </c>
    </row>
    <row r="29" spans="3:11" ht="16" x14ac:dyDescent="0.35">
      <c r="C29" s="51"/>
      <c r="D29" s="49"/>
      <c r="E29" s="50"/>
      <c r="F29" s="51"/>
      <c r="G29" s="51"/>
      <c r="H29" s="52"/>
      <c r="I29" s="46" t="str">
        <f t="shared" si="0"/>
        <v/>
      </c>
    </row>
    <row r="30" spans="3:11" ht="16" x14ac:dyDescent="0.35">
      <c r="C30" s="51"/>
      <c r="D30" s="49"/>
      <c r="E30" s="50"/>
      <c r="F30" s="51"/>
      <c r="G30" s="51"/>
      <c r="H30" s="52"/>
      <c r="I30" s="46" t="str">
        <f t="shared" si="0"/>
        <v/>
      </c>
    </row>
    <row r="31" spans="3:11" ht="16" x14ac:dyDescent="0.35">
      <c r="C31" s="51"/>
      <c r="D31" s="49"/>
      <c r="E31" s="50"/>
      <c r="F31" s="51"/>
      <c r="G31" s="51"/>
      <c r="H31" s="52"/>
      <c r="I31" s="46" t="str">
        <f t="shared" si="0"/>
        <v/>
      </c>
    </row>
    <row r="32" spans="3:11" ht="16" x14ac:dyDescent="0.35">
      <c r="C32" s="51"/>
      <c r="D32" s="49"/>
      <c r="E32" s="50"/>
      <c r="F32" s="51"/>
      <c r="G32" s="51"/>
      <c r="H32" s="52"/>
      <c r="I32" s="46" t="str">
        <f t="shared" si="0"/>
        <v/>
      </c>
    </row>
    <row r="33" spans="3:9" ht="16" x14ac:dyDescent="0.35">
      <c r="C33" s="51"/>
      <c r="D33" s="49"/>
      <c r="E33" s="50"/>
      <c r="F33" s="51"/>
      <c r="G33" s="51"/>
      <c r="H33" s="52"/>
      <c r="I33" s="46" t="str">
        <f t="shared" si="0"/>
        <v/>
      </c>
    </row>
    <row r="34" spans="3:9" ht="16" x14ac:dyDescent="0.35">
      <c r="C34" s="51"/>
      <c r="D34" s="49"/>
      <c r="E34" s="50"/>
      <c r="F34" s="51"/>
      <c r="G34" s="51"/>
      <c r="H34" s="52"/>
      <c r="I34" s="46" t="str">
        <f t="shared" si="0"/>
        <v/>
      </c>
    </row>
    <row r="35" spans="3:9" ht="16" x14ac:dyDescent="0.35">
      <c r="C35" s="51"/>
      <c r="D35" s="49"/>
      <c r="E35" s="50"/>
      <c r="F35" s="51"/>
      <c r="G35" s="51"/>
      <c r="H35" s="52"/>
      <c r="I35" s="46" t="str">
        <f t="shared" si="0"/>
        <v/>
      </c>
    </row>
    <row r="36" spans="3:9" ht="16" x14ac:dyDescent="0.35">
      <c r="C36" s="51"/>
      <c r="D36" s="49"/>
      <c r="E36" s="50"/>
      <c r="F36" s="51"/>
      <c r="G36" s="51"/>
      <c r="H36" s="52"/>
      <c r="I36" s="46" t="str">
        <f t="shared" si="0"/>
        <v/>
      </c>
    </row>
    <row r="37" spans="3:9" ht="16" x14ac:dyDescent="0.35">
      <c r="C37" s="51"/>
      <c r="D37" s="49"/>
      <c r="E37" s="50"/>
      <c r="F37" s="51"/>
      <c r="G37" s="51"/>
      <c r="H37" s="52"/>
      <c r="I37" s="46" t="str">
        <f t="shared" si="0"/>
        <v/>
      </c>
    </row>
    <row r="38" spans="3:9" ht="16" x14ac:dyDescent="0.35">
      <c r="C38" s="51"/>
      <c r="D38" s="49"/>
      <c r="E38" s="50"/>
      <c r="F38" s="51"/>
      <c r="G38" s="51"/>
      <c r="H38" s="52"/>
      <c r="I38" s="46" t="str">
        <f t="shared" si="0"/>
        <v/>
      </c>
    </row>
    <row r="39" spans="3:9" ht="16" x14ac:dyDescent="0.35">
      <c r="C39" s="51"/>
      <c r="D39" s="49"/>
      <c r="E39" s="50"/>
      <c r="F39" s="51"/>
      <c r="G39" s="51"/>
      <c r="H39" s="52"/>
      <c r="I39" s="46" t="str">
        <f t="shared" si="0"/>
        <v/>
      </c>
    </row>
    <row r="40" spans="3:9" ht="16" x14ac:dyDescent="0.35">
      <c r="C40" s="51"/>
      <c r="D40" s="49"/>
      <c r="E40" s="50"/>
      <c r="F40" s="51"/>
      <c r="G40" s="51"/>
      <c r="H40" s="52"/>
      <c r="I40" s="46" t="str">
        <f t="shared" si="0"/>
        <v/>
      </c>
    </row>
    <row r="41" spans="3:9" ht="16" x14ac:dyDescent="0.35">
      <c r="C41" s="51"/>
      <c r="D41" s="49"/>
      <c r="E41" s="50"/>
      <c r="F41" s="51"/>
      <c r="G41" s="51"/>
      <c r="H41" s="52"/>
      <c r="I41" s="46" t="str">
        <f t="shared" si="0"/>
        <v/>
      </c>
    </row>
    <row r="42" spans="3:9" ht="16" x14ac:dyDescent="0.35">
      <c r="C42" s="51"/>
      <c r="D42" s="49"/>
      <c r="E42" s="50"/>
      <c r="F42" s="51"/>
      <c r="G42" s="51"/>
      <c r="H42" s="52"/>
      <c r="I42" s="46" t="str">
        <f t="shared" si="0"/>
        <v/>
      </c>
    </row>
    <row r="43" spans="3:9" ht="16" x14ac:dyDescent="0.35">
      <c r="C43" s="51"/>
      <c r="D43" s="49"/>
      <c r="E43" s="50"/>
      <c r="F43" s="51"/>
      <c r="G43" s="51"/>
      <c r="H43" s="52"/>
      <c r="I43" s="46" t="str">
        <f t="shared" si="0"/>
        <v/>
      </c>
    </row>
    <row r="44" spans="3:9" ht="16" x14ac:dyDescent="0.35">
      <c r="C44" s="51"/>
      <c r="D44" s="49"/>
      <c r="E44" s="50"/>
      <c r="F44" s="51"/>
      <c r="G44" s="51"/>
      <c r="H44" s="52"/>
      <c r="I44" s="46" t="str">
        <f t="shared" si="0"/>
        <v/>
      </c>
    </row>
    <row r="45" spans="3:9" ht="16" x14ac:dyDescent="0.35">
      <c r="C45" s="51"/>
      <c r="D45" s="49"/>
      <c r="E45" s="50"/>
      <c r="F45" s="51"/>
      <c r="G45" s="51"/>
      <c r="H45" s="52"/>
      <c r="I45" s="46" t="str">
        <f t="shared" si="0"/>
        <v/>
      </c>
    </row>
    <row r="46" spans="3:9" ht="16" x14ac:dyDescent="0.35">
      <c r="C46" s="51"/>
      <c r="D46" s="49"/>
      <c r="E46" s="50"/>
      <c r="F46" s="51"/>
      <c r="G46" s="51"/>
      <c r="H46" s="52"/>
      <c r="I46" s="46" t="str">
        <f t="shared" si="0"/>
        <v/>
      </c>
    </row>
    <row r="47" spans="3:9" ht="16" x14ac:dyDescent="0.35">
      <c r="C47" s="51"/>
      <c r="D47" s="49"/>
      <c r="E47" s="50"/>
      <c r="F47" s="51"/>
      <c r="G47" s="51"/>
      <c r="H47" s="52"/>
      <c r="I47" s="46" t="str">
        <f t="shared" si="0"/>
        <v/>
      </c>
    </row>
    <row r="48" spans="3:9" ht="16" x14ac:dyDescent="0.35">
      <c r="C48" s="51"/>
      <c r="D48" s="49"/>
      <c r="E48" s="50"/>
      <c r="F48" s="51"/>
      <c r="G48" s="51"/>
      <c r="H48" s="52"/>
      <c r="I48" s="46" t="str">
        <f t="shared" si="0"/>
        <v/>
      </c>
    </row>
    <row r="49" spans="3:9" ht="16" x14ac:dyDescent="0.35">
      <c r="C49" s="51"/>
      <c r="D49" s="49"/>
      <c r="E49" s="50"/>
      <c r="F49" s="51"/>
      <c r="G49" s="51"/>
      <c r="H49" s="52"/>
      <c r="I49" s="46" t="str">
        <f t="shared" si="0"/>
        <v/>
      </c>
    </row>
    <row r="50" spans="3:9" ht="16" x14ac:dyDescent="0.35">
      <c r="C50" s="51"/>
      <c r="D50" s="49"/>
      <c r="E50" s="50"/>
      <c r="F50" s="51"/>
      <c r="G50" s="51"/>
      <c r="H50" s="52"/>
      <c r="I50" s="46" t="str">
        <f t="shared" si="0"/>
        <v/>
      </c>
    </row>
    <row r="51" spans="3:9" ht="16" x14ac:dyDescent="0.35">
      <c r="C51" s="51"/>
      <c r="D51" s="49"/>
      <c r="E51" s="53"/>
      <c r="F51" s="51"/>
      <c r="G51" s="51"/>
      <c r="H51" s="52"/>
      <c r="I51" s="47"/>
    </row>
    <row r="52" spans="3:9" x14ac:dyDescent="0.35"/>
    <row r="53" spans="3:9" x14ac:dyDescent="0.35"/>
    <row r="54" spans="3:9" x14ac:dyDescent="0.35"/>
  </sheetData>
  <sheetProtection sheet="1"/>
  <mergeCells count="1">
    <mergeCell ref="C12:I12"/>
  </mergeCells>
  <conditionalFormatting sqref="I14:I50">
    <cfRule type="containsText" dxfId="11" priority="1" operator="containsText" text="PENDENTE">
      <formula>NOT(ISERROR(SEARCH("PENDENTE",I14)))</formula>
    </cfRule>
    <cfRule type="containsText" dxfId="10" priority="2" operator="containsText" text="INCOMPLETO">
      <formula>NOT(ISERROR(SEARCH("INCOMPLETO",I14)))</formula>
    </cfRule>
    <cfRule type="containsText" dxfId="9" priority="3" operator="containsText" text="CONCLUÍDO">
      <formula>NOT(ISERROR(SEARCH("CONCLUÍDO",I14)))</formula>
    </cfRule>
  </conditionalFormatting>
  <dataValidations count="6">
    <dataValidation type="list" allowBlank="1" showInputMessage="1" showErrorMessage="1" sqref="F14:F51" xr:uid="{AF3A6550-2D8D-45FC-A192-BD3E70D096F5}">
      <formula1>ListaRendimentos</formula1>
    </dataValidation>
    <dataValidation type="list" allowBlank="1" showInputMessage="1" showErrorMessage="1" sqref="G23:G51" xr:uid="{4AE2472F-7138-41B4-B9CA-A76BB61A17BB}">
      <formula1>"Tributável,Isento e não tributável,Tributação exclusiva/definitiva,Sujeito à tributação no exterior,A verificar"</formula1>
    </dataValidation>
    <dataValidation type="date" allowBlank="1" showInputMessage="1" showErrorMessage="1" error="Essa faixa é apenas uma validação inicial. Depois podemos ajustá-la para aceitar somente datas do ano-calendário correspondente." sqref="C15:C23" xr:uid="{49D4D280-9DAB-4378-AD77-77C10D9ED9E7}">
      <formula1>43831</formula1>
      <formula2>49674</formula2>
    </dataValidation>
    <dataValidation type="date" allowBlank="1" showInputMessage="1" showErrorMessage="1" sqref="C14" xr:uid="{AAADC016-DFB5-4D80-A21F-672F71120EA0}">
      <formula1>43831</formula1>
      <formula2>49674</formula2>
    </dataValidation>
    <dataValidation type="decimal" operator="greaterThan" allowBlank="1" showInputMessage="1" showErrorMessage="1" errorTitle="VALOR INVÁLIDO" error="Informe um valor maior que zero." promptTitle="VALOR RECEBIDO" prompt="Informe o valor bruto recebido em reais." sqref="G14:G22" xr:uid="{8D064395-792E-4B4D-B15B-413B3FE9B67F}">
      <formula1>0</formula1>
    </dataValidation>
    <dataValidation type="decimal" operator="greaterThanOrEqual" allowBlank="1" showInputMessage="1" showErrorMessage="1" promptTitle="IMPOSTO RETIDO" prompt="Digite o imposto retido. Use 0 quando não houver retenção." sqref="H14:H51" xr:uid="{0F2D4B4B-13A0-42D3-9862-EB136325982F}">
      <formula1>0</formula1>
    </dataValidation>
  </dataValidations>
  <pageMargins left="0.511811024" right="0.511811024" top="0.78740157499999996" bottom="0.78740157499999996" header="0.31496062000000002" footer="0.31496062000000002"/>
  <ignoredErrors>
    <ignoredError sqref="I17:I50" calculatedColumn="1"/>
    <ignoredError sqref="I14:I16" unlockedFormula="1" calculatedColumn="1"/>
  </ignoredErrors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E6A3B-1F87-4CA1-9CA9-5A07C53E39F3}">
  <sheetPr>
    <tabColor rgb="FF17324D"/>
  </sheetPr>
  <dimension ref="A1:XFC54"/>
  <sheetViews>
    <sheetView showGridLines="0" showRowColHeaders="0" zoomScale="60" zoomScaleNormal="60" workbookViewId="0">
      <pane xSplit="1" topLeftCell="B1" activePane="topRight" state="frozen"/>
      <selection pane="topRight" activeCell="A53" sqref="A5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5" zeroHeight="1" x14ac:dyDescent="0.35"/>
  <cols>
    <col min="1" max="1" width="29.90625" style="4" customWidth="1"/>
    <col min="2" max="2" width="8.7265625" style="5" customWidth="1"/>
    <col min="3" max="3" width="12.453125" style="5" customWidth="1"/>
    <col min="4" max="4" width="22.81640625" style="5" customWidth="1"/>
    <col min="5" max="5" width="13.7265625" style="5" customWidth="1"/>
    <col min="6" max="6" width="11.54296875" style="5" customWidth="1"/>
    <col min="7" max="7" width="12.08984375" style="60" customWidth="1"/>
    <col min="8" max="8" width="14.6328125" style="5" customWidth="1"/>
    <col min="9" max="9" width="15" style="5" customWidth="1"/>
    <col min="10" max="10" width="8.7265625" style="5" customWidth="1"/>
    <col min="11" max="11" width="6" style="5" hidden="1" customWidth="1"/>
    <col min="12" max="12" width="8.81640625" style="35" hidden="1" customWidth="1"/>
    <col min="13" max="16383" width="8.7265625" style="5" hidden="1"/>
    <col min="16384" max="16384" width="6" style="5" hidden="1"/>
  </cols>
  <sheetData>
    <row r="1" spans="1:21" x14ac:dyDescent="0.35">
      <c r="G1" s="5"/>
    </row>
    <row r="2" spans="1:21" x14ac:dyDescent="0.35">
      <c r="G2" s="5"/>
    </row>
    <row r="3" spans="1:21" ht="19.5" x14ac:dyDescent="0.45">
      <c r="C3" s="6" t="s">
        <v>131</v>
      </c>
      <c r="D3" s="6"/>
      <c r="E3" s="6"/>
      <c r="F3" s="4"/>
      <c r="G3" s="4"/>
      <c r="H3" s="4"/>
      <c r="J3" s="58">
        <f>SUM(G:G)</f>
        <v>7570</v>
      </c>
      <c r="K3" s="90"/>
      <c r="L3" s="89"/>
      <c r="M3" s="90"/>
      <c r="N3" s="90"/>
      <c r="O3" s="90"/>
      <c r="P3" s="90"/>
      <c r="Q3" s="90"/>
      <c r="R3" s="90"/>
      <c r="S3" s="90"/>
      <c r="T3" s="90"/>
      <c r="U3" s="90"/>
    </row>
    <row r="4" spans="1:21" x14ac:dyDescent="0.35">
      <c r="C4" s="38" t="s">
        <v>132</v>
      </c>
      <c r="D4" s="38"/>
      <c r="E4" s="38"/>
      <c r="G4" s="5"/>
      <c r="J4" s="58">
        <f>SUM(H:H)</f>
        <v>850</v>
      </c>
      <c r="K4" s="90"/>
      <c r="L4" s="89"/>
      <c r="M4" s="90"/>
      <c r="N4" s="90"/>
      <c r="O4" s="90"/>
      <c r="P4" s="90"/>
      <c r="Q4" s="90"/>
      <c r="R4" s="90"/>
      <c r="S4" s="90"/>
      <c r="T4" s="90"/>
      <c r="U4" s="90"/>
    </row>
    <row r="5" spans="1:21" x14ac:dyDescent="0.35">
      <c r="G5" s="5"/>
      <c r="J5" s="39">
        <f>COUNTIF(I:I,"PENDENTE")+COUNTIF(I:I,"INCOMPLETO")</f>
        <v>0</v>
      </c>
      <c r="K5" s="90"/>
      <c r="L5" s="82"/>
      <c r="M5" s="90"/>
      <c r="N5" s="90"/>
      <c r="O5" s="90"/>
      <c r="P5" s="90"/>
      <c r="Q5" s="90"/>
      <c r="R5" s="90"/>
      <c r="S5" s="90"/>
      <c r="T5" s="90"/>
      <c r="U5" s="90"/>
    </row>
    <row r="6" spans="1:21" x14ac:dyDescent="0.35">
      <c r="G6" s="5"/>
      <c r="K6" s="90"/>
      <c r="L6" s="82"/>
      <c r="M6" s="90"/>
      <c r="N6" s="90"/>
      <c r="O6" s="90"/>
      <c r="P6" s="90"/>
      <c r="Q6" s="90"/>
      <c r="R6" s="90"/>
      <c r="S6" s="90"/>
      <c r="T6" s="90"/>
      <c r="U6" s="90"/>
    </row>
    <row r="7" spans="1:21" x14ac:dyDescent="0.35">
      <c r="G7" s="5"/>
      <c r="K7" s="90"/>
      <c r="L7" s="82"/>
      <c r="M7" s="90"/>
      <c r="N7" s="90"/>
      <c r="O7" s="90"/>
      <c r="P7" s="90"/>
      <c r="Q7" s="90"/>
      <c r="R7" s="90"/>
      <c r="S7" s="90"/>
      <c r="T7" s="90"/>
      <c r="U7" s="90"/>
    </row>
    <row r="8" spans="1:21" x14ac:dyDescent="0.35">
      <c r="G8" s="5"/>
      <c r="K8" s="90"/>
      <c r="L8" s="82"/>
      <c r="M8" s="90"/>
      <c r="N8" s="90"/>
      <c r="O8" s="90"/>
      <c r="P8" s="90"/>
      <c r="Q8" s="90"/>
      <c r="R8" s="90"/>
      <c r="S8" s="90"/>
      <c r="T8" s="90"/>
      <c r="U8" s="90"/>
    </row>
    <row r="9" spans="1:21" x14ac:dyDescent="0.35">
      <c r="G9" s="5"/>
      <c r="K9" s="90"/>
      <c r="L9" s="82"/>
      <c r="M9" s="90"/>
      <c r="N9" s="90"/>
      <c r="O9" s="90"/>
      <c r="P9" s="90"/>
      <c r="Q9" s="90"/>
      <c r="R9" s="90"/>
      <c r="S9" s="90"/>
      <c r="T9" s="90"/>
      <c r="U9" s="90"/>
    </row>
    <row r="10" spans="1:21" x14ac:dyDescent="0.35">
      <c r="G10" s="5"/>
      <c r="K10" s="90"/>
      <c r="L10" s="82"/>
      <c r="M10" s="90"/>
      <c r="N10" s="90"/>
      <c r="O10" s="90"/>
      <c r="P10" s="90"/>
      <c r="Q10" s="90"/>
      <c r="R10" s="90"/>
      <c r="S10" s="90"/>
      <c r="T10" s="90"/>
      <c r="U10" s="90"/>
    </row>
    <row r="11" spans="1:21" x14ac:dyDescent="0.35">
      <c r="G11" s="5"/>
      <c r="K11" s="90"/>
      <c r="L11" s="82"/>
      <c r="M11" s="90"/>
      <c r="N11" s="90"/>
      <c r="O11" s="90"/>
      <c r="P11" s="90"/>
      <c r="Q11" s="90"/>
      <c r="R11" s="90"/>
      <c r="S11" s="90"/>
      <c r="T11" s="90"/>
      <c r="U11" s="90"/>
    </row>
    <row r="12" spans="1:21" s="42" customFormat="1" ht="22" customHeight="1" x14ac:dyDescent="0.35">
      <c r="A12" s="41"/>
      <c r="C12" s="43" t="s">
        <v>133</v>
      </c>
      <c r="D12" s="43"/>
      <c r="E12" s="43"/>
      <c r="F12" s="43"/>
      <c r="G12" s="43"/>
      <c r="H12" s="43"/>
      <c r="I12" s="43"/>
      <c r="K12" s="92"/>
      <c r="L12" s="91"/>
      <c r="M12" s="92"/>
      <c r="N12" s="92"/>
      <c r="O12" s="92"/>
      <c r="P12" s="92"/>
      <c r="Q12" s="92"/>
      <c r="R12" s="92"/>
      <c r="S12" s="92"/>
      <c r="T12" s="92"/>
      <c r="U12" s="92"/>
    </row>
    <row r="13" spans="1:21" ht="26" customHeight="1" x14ac:dyDescent="0.35">
      <c r="C13" s="45" t="s">
        <v>63</v>
      </c>
      <c r="D13" s="45" t="s">
        <v>134</v>
      </c>
      <c r="E13" s="45" t="s">
        <v>117</v>
      </c>
      <c r="F13" s="45" t="s">
        <v>135</v>
      </c>
      <c r="G13" s="45" t="s">
        <v>136</v>
      </c>
      <c r="H13" s="45" t="s">
        <v>137</v>
      </c>
      <c r="I13" s="45" t="s">
        <v>103</v>
      </c>
      <c r="K13" s="90"/>
      <c r="L13" s="82"/>
      <c r="M13" s="90"/>
      <c r="N13" s="90"/>
      <c r="O13" s="90"/>
      <c r="P13" s="90"/>
      <c r="Q13" s="90"/>
      <c r="R13" s="90"/>
      <c r="S13" s="90"/>
      <c r="T13" s="90"/>
      <c r="U13" s="90"/>
    </row>
    <row r="14" spans="1:21" ht="32" customHeight="1" x14ac:dyDescent="0.35">
      <c r="C14" s="48">
        <v>45662</v>
      </c>
      <c r="D14" s="49" t="s">
        <v>139</v>
      </c>
      <c r="E14" s="50">
        <v>12345678900</v>
      </c>
      <c r="F14" s="54" t="s">
        <v>140</v>
      </c>
      <c r="G14" s="52">
        <v>350</v>
      </c>
      <c r="H14" s="52">
        <v>0</v>
      </c>
      <c r="I14" s="46" t="str">
        <f>IF(COUNTA(C14:H14)=0,"",IF(OR(C14="",D14="",E14="",F14="",G14="",H14=""),"INCOMPLETO","CONCLUÍDO"))</f>
        <v>CONCLUÍDO</v>
      </c>
      <c r="K14" s="90"/>
      <c r="L14" s="82"/>
      <c r="M14" s="90"/>
      <c r="N14" s="90"/>
      <c r="O14" s="90"/>
      <c r="P14" s="90"/>
      <c r="Q14" s="90"/>
      <c r="R14" s="90"/>
      <c r="S14" s="90"/>
      <c r="T14" s="90"/>
      <c r="U14" s="90"/>
    </row>
    <row r="15" spans="1:21" ht="16" x14ac:dyDescent="0.35">
      <c r="C15" s="48">
        <v>45669</v>
      </c>
      <c r="D15" s="49" t="s">
        <v>141</v>
      </c>
      <c r="E15" s="50">
        <v>23456789000</v>
      </c>
      <c r="F15" s="54" t="s">
        <v>138</v>
      </c>
      <c r="G15" s="52">
        <v>420</v>
      </c>
      <c r="H15" s="52">
        <v>200</v>
      </c>
      <c r="I15" s="46" t="str">
        <f t="shared" ref="I15:I50" si="0">IF(COUNTA(C15:H15)=0,"",IF(OR(C15="",D15="",E15="",F15="",G15="",H15=""),"INCOMPLETO","CONCLUÍDO"))</f>
        <v>CONCLUÍDO</v>
      </c>
      <c r="K15" s="90"/>
      <c r="L15" s="82"/>
      <c r="M15" s="90"/>
      <c r="N15" s="90"/>
      <c r="O15" s="90"/>
      <c r="P15" s="90"/>
      <c r="Q15" s="90"/>
      <c r="R15" s="90"/>
      <c r="S15" s="90"/>
      <c r="T15" s="90"/>
      <c r="U15" s="90"/>
    </row>
    <row r="16" spans="1:21" ht="16" x14ac:dyDescent="0.35">
      <c r="C16" s="48">
        <v>45708</v>
      </c>
      <c r="D16" s="49" t="s">
        <v>142</v>
      </c>
      <c r="E16" s="50">
        <v>34567890100</v>
      </c>
      <c r="F16" s="54" t="s">
        <v>143</v>
      </c>
      <c r="G16" s="52">
        <v>680</v>
      </c>
      <c r="H16" s="52">
        <v>0</v>
      </c>
      <c r="I16" s="46" t="str">
        <f t="shared" si="0"/>
        <v>CONCLUÍDO</v>
      </c>
      <c r="K16" s="90"/>
      <c r="L16" s="82"/>
      <c r="M16" s="90"/>
      <c r="N16" s="90"/>
      <c r="O16" s="90"/>
      <c r="P16" s="90"/>
      <c r="Q16" s="90"/>
      <c r="R16" s="90"/>
      <c r="S16" s="90"/>
      <c r="T16" s="90"/>
      <c r="U16" s="90"/>
    </row>
    <row r="17" spans="3:21" ht="16" x14ac:dyDescent="0.35">
      <c r="C17" s="48">
        <v>45721</v>
      </c>
      <c r="D17" s="49" t="s">
        <v>144</v>
      </c>
      <c r="E17" s="50">
        <v>45678901200</v>
      </c>
      <c r="F17" s="54" t="s">
        <v>145</v>
      </c>
      <c r="G17" s="52">
        <v>1250</v>
      </c>
      <c r="H17" s="52">
        <v>0</v>
      </c>
      <c r="I17" s="46" t="str">
        <f t="shared" si="0"/>
        <v>CONCLUÍDO</v>
      </c>
      <c r="K17" s="90"/>
      <c r="L17" s="82"/>
      <c r="M17" s="90"/>
      <c r="N17" s="90"/>
      <c r="O17" s="90"/>
      <c r="P17" s="90"/>
      <c r="Q17" s="90"/>
      <c r="R17" s="90"/>
      <c r="S17" s="90"/>
      <c r="T17" s="90"/>
      <c r="U17" s="90"/>
    </row>
    <row r="18" spans="3:21" ht="16" x14ac:dyDescent="0.35">
      <c r="C18" s="48">
        <v>45730</v>
      </c>
      <c r="D18" s="49" t="s">
        <v>146</v>
      </c>
      <c r="E18" s="50">
        <v>56789012300</v>
      </c>
      <c r="F18" s="54" t="s">
        <v>147</v>
      </c>
      <c r="G18" s="52">
        <v>240</v>
      </c>
      <c r="H18" s="52">
        <v>0</v>
      </c>
      <c r="I18" s="46" t="str">
        <f t="shared" si="0"/>
        <v>CONCLUÍDO</v>
      </c>
      <c r="K18" s="90"/>
      <c r="L18" s="82"/>
      <c r="M18" s="90"/>
      <c r="N18" s="90"/>
      <c r="O18" s="90"/>
      <c r="P18" s="90"/>
      <c r="Q18" s="90"/>
      <c r="R18" s="90"/>
      <c r="S18" s="90"/>
      <c r="T18" s="90"/>
      <c r="U18" s="90"/>
    </row>
    <row r="19" spans="3:21" ht="16" x14ac:dyDescent="0.35">
      <c r="C19" s="48">
        <v>45756</v>
      </c>
      <c r="D19" s="49" t="s">
        <v>148</v>
      </c>
      <c r="E19" s="50">
        <v>67890123400</v>
      </c>
      <c r="F19" s="54" t="s">
        <v>149</v>
      </c>
      <c r="G19" s="52">
        <v>1850</v>
      </c>
      <c r="H19" s="52">
        <v>650</v>
      </c>
      <c r="I19" s="46" t="str">
        <f t="shared" si="0"/>
        <v>CONCLUÍDO</v>
      </c>
      <c r="K19" s="90"/>
      <c r="L19" s="82"/>
      <c r="M19" s="90"/>
      <c r="N19" s="90"/>
      <c r="O19" s="90"/>
      <c r="P19" s="90"/>
      <c r="Q19" s="90"/>
      <c r="R19" s="90"/>
      <c r="S19" s="90"/>
      <c r="T19" s="90"/>
      <c r="U19" s="90"/>
    </row>
    <row r="20" spans="3:21" ht="16" x14ac:dyDescent="0.35">
      <c r="C20" s="48">
        <v>45792</v>
      </c>
      <c r="D20" s="49" t="s">
        <v>150</v>
      </c>
      <c r="E20" s="50">
        <v>78901234500</v>
      </c>
      <c r="F20" s="54" t="s">
        <v>151</v>
      </c>
      <c r="G20" s="52">
        <v>580</v>
      </c>
      <c r="H20" s="52">
        <v>0</v>
      </c>
      <c r="I20" s="46" t="str">
        <f t="shared" si="0"/>
        <v>CONCLUÍDO</v>
      </c>
      <c r="K20" s="90"/>
      <c r="L20" s="82"/>
      <c r="M20" s="90"/>
      <c r="N20" s="90"/>
      <c r="O20" s="90"/>
      <c r="P20" s="90"/>
      <c r="Q20" s="90"/>
      <c r="R20" s="90"/>
      <c r="S20" s="90"/>
      <c r="T20" s="90"/>
      <c r="U20" s="90"/>
    </row>
    <row r="21" spans="3:21" ht="16" x14ac:dyDescent="0.35">
      <c r="C21" s="48">
        <v>45818</v>
      </c>
      <c r="D21" s="49" t="s">
        <v>144</v>
      </c>
      <c r="E21" s="50">
        <v>89012345600</v>
      </c>
      <c r="F21" s="54" t="s">
        <v>145</v>
      </c>
      <c r="G21" s="52">
        <v>1250</v>
      </c>
      <c r="H21" s="52">
        <v>0</v>
      </c>
      <c r="I21" s="46" t="str">
        <f t="shared" si="0"/>
        <v>CONCLUÍDO</v>
      </c>
      <c r="K21" s="90"/>
      <c r="L21" s="82"/>
      <c r="M21" s="90"/>
      <c r="N21" s="90"/>
      <c r="O21" s="90"/>
      <c r="P21" s="90"/>
      <c r="Q21" s="90"/>
      <c r="R21" s="90"/>
      <c r="S21" s="90"/>
      <c r="T21" s="90"/>
      <c r="U21" s="90"/>
    </row>
    <row r="22" spans="3:21" ht="16" x14ac:dyDescent="0.35">
      <c r="C22" s="48">
        <v>45856</v>
      </c>
      <c r="D22" s="49" t="s">
        <v>139</v>
      </c>
      <c r="E22" s="50">
        <v>90123456700</v>
      </c>
      <c r="F22" s="54" t="s">
        <v>140</v>
      </c>
      <c r="G22" s="52">
        <v>350</v>
      </c>
      <c r="H22" s="52">
        <v>0</v>
      </c>
      <c r="I22" s="46" t="str">
        <f t="shared" si="0"/>
        <v>CONCLUÍDO</v>
      </c>
      <c r="K22" s="90"/>
      <c r="L22" s="82"/>
      <c r="M22" s="90"/>
      <c r="N22" s="90"/>
      <c r="O22" s="90"/>
      <c r="P22" s="90"/>
      <c r="Q22" s="90"/>
      <c r="R22" s="90"/>
      <c r="S22" s="90"/>
      <c r="T22" s="90"/>
      <c r="U22" s="90"/>
    </row>
    <row r="23" spans="3:21" ht="16" x14ac:dyDescent="0.35">
      <c r="C23" s="48">
        <v>45891</v>
      </c>
      <c r="D23" s="49" t="s">
        <v>152</v>
      </c>
      <c r="E23" s="50">
        <v>11223344500</v>
      </c>
      <c r="F23" s="54" t="s">
        <v>153</v>
      </c>
      <c r="G23" s="52">
        <v>600</v>
      </c>
      <c r="H23" s="52">
        <v>0</v>
      </c>
      <c r="I23" s="46" t="str">
        <f t="shared" si="0"/>
        <v>CONCLUÍDO</v>
      </c>
      <c r="K23" s="90"/>
      <c r="L23" s="82"/>
      <c r="M23" s="90"/>
      <c r="N23" s="90"/>
      <c r="O23" s="90"/>
      <c r="P23" s="90"/>
      <c r="Q23" s="90"/>
      <c r="R23" s="90"/>
      <c r="S23" s="90"/>
      <c r="T23" s="90"/>
      <c r="U23" s="90"/>
    </row>
    <row r="24" spans="3:21" ht="16" x14ac:dyDescent="0.35">
      <c r="C24" s="48"/>
      <c r="D24" s="51"/>
      <c r="E24" s="55"/>
      <c r="F24" s="54"/>
      <c r="G24" s="56"/>
      <c r="H24" s="57"/>
      <c r="I24" s="46" t="str">
        <f t="shared" si="0"/>
        <v/>
      </c>
      <c r="K24" s="90"/>
      <c r="L24" s="82"/>
      <c r="M24" s="90"/>
      <c r="N24" s="90"/>
      <c r="O24" s="90"/>
      <c r="P24" s="90"/>
      <c r="Q24" s="90"/>
      <c r="R24" s="90"/>
      <c r="S24" s="90"/>
      <c r="T24" s="90"/>
      <c r="U24" s="90"/>
    </row>
    <row r="25" spans="3:21" ht="16" x14ac:dyDescent="0.35">
      <c r="C25" s="48"/>
      <c r="D25" s="51"/>
      <c r="E25" s="55"/>
      <c r="F25" s="54"/>
      <c r="G25" s="56"/>
      <c r="H25" s="57"/>
      <c r="I25" s="46" t="str">
        <f t="shared" si="0"/>
        <v/>
      </c>
      <c r="K25" s="90"/>
      <c r="L25" s="82"/>
      <c r="M25" s="90"/>
      <c r="N25" s="90"/>
      <c r="O25" s="90"/>
      <c r="P25" s="90"/>
      <c r="Q25" s="90"/>
      <c r="R25" s="90"/>
      <c r="S25" s="90"/>
      <c r="T25" s="90"/>
      <c r="U25" s="90"/>
    </row>
    <row r="26" spans="3:21" ht="16" x14ac:dyDescent="0.35">
      <c r="C26" s="51"/>
      <c r="D26" s="51"/>
      <c r="E26" s="55"/>
      <c r="F26" s="54"/>
      <c r="G26" s="56"/>
      <c r="H26" s="57"/>
      <c r="I26" s="46" t="str">
        <f t="shared" si="0"/>
        <v/>
      </c>
    </row>
    <row r="27" spans="3:21" ht="16" x14ac:dyDescent="0.35">
      <c r="C27" s="51"/>
      <c r="D27" s="51"/>
      <c r="E27" s="55"/>
      <c r="F27" s="54"/>
      <c r="G27" s="56"/>
      <c r="H27" s="57"/>
      <c r="I27" s="46" t="str">
        <f t="shared" si="0"/>
        <v/>
      </c>
    </row>
    <row r="28" spans="3:21" ht="16" x14ac:dyDescent="0.35">
      <c r="C28" s="51"/>
      <c r="D28" s="51"/>
      <c r="E28" s="55"/>
      <c r="F28" s="54"/>
      <c r="G28" s="56"/>
      <c r="H28" s="57"/>
      <c r="I28" s="46" t="str">
        <f t="shared" si="0"/>
        <v/>
      </c>
    </row>
    <row r="29" spans="3:21" ht="16" x14ac:dyDescent="0.35">
      <c r="C29" s="51"/>
      <c r="D29" s="51"/>
      <c r="E29" s="55"/>
      <c r="F29" s="54"/>
      <c r="G29" s="56"/>
      <c r="H29" s="57"/>
      <c r="I29" s="46" t="str">
        <f t="shared" si="0"/>
        <v/>
      </c>
    </row>
    <row r="30" spans="3:21" ht="16" x14ac:dyDescent="0.35">
      <c r="C30" s="51"/>
      <c r="D30" s="51"/>
      <c r="E30" s="55"/>
      <c r="F30" s="54"/>
      <c r="G30" s="56"/>
      <c r="H30" s="57"/>
      <c r="I30" s="46" t="str">
        <f t="shared" si="0"/>
        <v/>
      </c>
    </row>
    <row r="31" spans="3:21" ht="16" x14ac:dyDescent="0.35">
      <c r="C31" s="51"/>
      <c r="D31" s="51"/>
      <c r="E31" s="55"/>
      <c r="F31" s="54"/>
      <c r="G31" s="56"/>
      <c r="H31" s="57"/>
      <c r="I31" s="46" t="str">
        <f t="shared" si="0"/>
        <v/>
      </c>
    </row>
    <row r="32" spans="3:21" ht="16" x14ac:dyDescent="0.35">
      <c r="C32" s="51"/>
      <c r="D32" s="51"/>
      <c r="E32" s="55"/>
      <c r="F32" s="54"/>
      <c r="G32" s="56"/>
      <c r="H32" s="57"/>
      <c r="I32" s="46" t="str">
        <f t="shared" si="0"/>
        <v/>
      </c>
    </row>
    <row r="33" spans="3:9" ht="16" x14ac:dyDescent="0.35">
      <c r="C33" s="51"/>
      <c r="D33" s="51"/>
      <c r="E33" s="55"/>
      <c r="F33" s="54"/>
      <c r="G33" s="56"/>
      <c r="H33" s="57"/>
      <c r="I33" s="46" t="str">
        <f t="shared" si="0"/>
        <v/>
      </c>
    </row>
    <row r="34" spans="3:9" ht="16" x14ac:dyDescent="0.35">
      <c r="C34" s="51"/>
      <c r="D34" s="51"/>
      <c r="E34" s="55"/>
      <c r="F34" s="54"/>
      <c r="G34" s="56"/>
      <c r="H34" s="57"/>
      <c r="I34" s="46" t="str">
        <f t="shared" si="0"/>
        <v/>
      </c>
    </row>
    <row r="35" spans="3:9" ht="16" x14ac:dyDescent="0.35">
      <c r="C35" s="51"/>
      <c r="D35" s="51"/>
      <c r="E35" s="55"/>
      <c r="F35" s="54"/>
      <c r="G35" s="56"/>
      <c r="H35" s="57"/>
      <c r="I35" s="46" t="str">
        <f t="shared" si="0"/>
        <v/>
      </c>
    </row>
    <row r="36" spans="3:9" ht="16" x14ac:dyDescent="0.35">
      <c r="C36" s="51"/>
      <c r="D36" s="51"/>
      <c r="E36" s="55"/>
      <c r="F36" s="54"/>
      <c r="G36" s="56"/>
      <c r="H36" s="57"/>
      <c r="I36" s="46" t="str">
        <f t="shared" si="0"/>
        <v/>
      </c>
    </row>
    <row r="37" spans="3:9" ht="16" x14ac:dyDescent="0.35">
      <c r="C37" s="51"/>
      <c r="D37" s="51"/>
      <c r="E37" s="55"/>
      <c r="F37" s="54"/>
      <c r="G37" s="56"/>
      <c r="H37" s="57"/>
      <c r="I37" s="46" t="str">
        <f t="shared" si="0"/>
        <v/>
      </c>
    </row>
    <row r="38" spans="3:9" ht="16" x14ac:dyDescent="0.35">
      <c r="C38" s="51"/>
      <c r="D38" s="51"/>
      <c r="E38" s="55"/>
      <c r="F38" s="54"/>
      <c r="G38" s="56"/>
      <c r="H38" s="57"/>
      <c r="I38" s="46" t="str">
        <f t="shared" si="0"/>
        <v/>
      </c>
    </row>
    <row r="39" spans="3:9" ht="16" x14ac:dyDescent="0.35">
      <c r="C39" s="51"/>
      <c r="D39" s="51"/>
      <c r="E39" s="55"/>
      <c r="F39" s="54"/>
      <c r="G39" s="56"/>
      <c r="H39" s="57"/>
      <c r="I39" s="46" t="str">
        <f t="shared" si="0"/>
        <v/>
      </c>
    </row>
    <row r="40" spans="3:9" ht="16" x14ac:dyDescent="0.35">
      <c r="C40" s="51"/>
      <c r="D40" s="51"/>
      <c r="E40" s="55"/>
      <c r="F40" s="54"/>
      <c r="G40" s="56"/>
      <c r="H40" s="57"/>
      <c r="I40" s="46" t="str">
        <f t="shared" si="0"/>
        <v/>
      </c>
    </row>
    <row r="41" spans="3:9" ht="16" x14ac:dyDescent="0.35">
      <c r="C41" s="51"/>
      <c r="D41" s="51"/>
      <c r="E41" s="55"/>
      <c r="F41" s="54"/>
      <c r="G41" s="56"/>
      <c r="H41" s="57"/>
      <c r="I41" s="46" t="str">
        <f t="shared" si="0"/>
        <v/>
      </c>
    </row>
    <row r="42" spans="3:9" ht="16" x14ac:dyDescent="0.35">
      <c r="C42" s="51"/>
      <c r="D42" s="51"/>
      <c r="E42" s="55"/>
      <c r="F42" s="54"/>
      <c r="G42" s="56"/>
      <c r="H42" s="57"/>
      <c r="I42" s="46" t="str">
        <f t="shared" si="0"/>
        <v/>
      </c>
    </row>
    <row r="43" spans="3:9" ht="16" x14ac:dyDescent="0.35">
      <c r="C43" s="51"/>
      <c r="D43" s="51"/>
      <c r="E43" s="55"/>
      <c r="F43" s="54"/>
      <c r="G43" s="56"/>
      <c r="H43" s="57"/>
      <c r="I43" s="46" t="str">
        <f t="shared" si="0"/>
        <v/>
      </c>
    </row>
    <row r="44" spans="3:9" ht="16" x14ac:dyDescent="0.35">
      <c r="C44" s="51"/>
      <c r="D44" s="51"/>
      <c r="E44" s="55"/>
      <c r="F44" s="54"/>
      <c r="G44" s="56"/>
      <c r="H44" s="57"/>
      <c r="I44" s="46" t="str">
        <f t="shared" si="0"/>
        <v/>
      </c>
    </row>
    <row r="45" spans="3:9" ht="16" x14ac:dyDescent="0.35">
      <c r="C45" s="51"/>
      <c r="D45" s="51"/>
      <c r="E45" s="55"/>
      <c r="F45" s="54"/>
      <c r="G45" s="56"/>
      <c r="H45" s="57"/>
      <c r="I45" s="46" t="str">
        <f t="shared" si="0"/>
        <v/>
      </c>
    </row>
    <row r="46" spans="3:9" ht="16" x14ac:dyDescent="0.35">
      <c r="C46" s="51"/>
      <c r="D46" s="51"/>
      <c r="E46" s="55"/>
      <c r="F46" s="54"/>
      <c r="G46" s="56"/>
      <c r="H46" s="57"/>
      <c r="I46" s="46" t="str">
        <f t="shared" si="0"/>
        <v/>
      </c>
    </row>
    <row r="47" spans="3:9" ht="16" x14ac:dyDescent="0.35">
      <c r="C47" s="51"/>
      <c r="D47" s="51"/>
      <c r="E47" s="55"/>
      <c r="F47" s="54"/>
      <c r="G47" s="56"/>
      <c r="H47" s="57"/>
      <c r="I47" s="46" t="str">
        <f t="shared" si="0"/>
        <v/>
      </c>
    </row>
    <row r="48" spans="3:9" ht="16" x14ac:dyDescent="0.35">
      <c r="C48" s="51"/>
      <c r="D48" s="51"/>
      <c r="E48" s="55"/>
      <c r="F48" s="54"/>
      <c r="G48" s="56"/>
      <c r="H48" s="57"/>
      <c r="I48" s="46" t="str">
        <f t="shared" si="0"/>
        <v/>
      </c>
    </row>
    <row r="49" spans="3:9" ht="16" x14ac:dyDescent="0.35">
      <c r="C49" s="51"/>
      <c r="D49" s="51"/>
      <c r="E49" s="55"/>
      <c r="F49" s="54"/>
      <c r="G49" s="56"/>
      <c r="H49" s="57"/>
      <c r="I49" s="46" t="str">
        <f t="shared" si="0"/>
        <v/>
      </c>
    </row>
    <row r="50" spans="3:9" ht="16" x14ac:dyDescent="0.35">
      <c r="C50" s="51"/>
      <c r="D50" s="51"/>
      <c r="E50" s="55"/>
      <c r="F50" s="54"/>
      <c r="G50" s="56"/>
      <c r="H50" s="57"/>
      <c r="I50" s="46" t="str">
        <f t="shared" si="0"/>
        <v/>
      </c>
    </row>
    <row r="51" spans="3:9" ht="16" x14ac:dyDescent="0.35">
      <c r="C51" s="51"/>
      <c r="D51" s="51"/>
      <c r="E51" s="53"/>
      <c r="F51" s="54"/>
      <c r="G51" s="56"/>
      <c r="H51" s="57"/>
      <c r="I51" s="59"/>
    </row>
    <row r="52" spans="3:9" x14ac:dyDescent="0.35"/>
    <row r="53" spans="3:9" x14ac:dyDescent="0.35"/>
    <row r="54" spans="3:9" x14ac:dyDescent="0.35"/>
  </sheetData>
  <sheetProtection sheet="1"/>
  <mergeCells count="1">
    <mergeCell ref="C12:I12"/>
  </mergeCells>
  <conditionalFormatting sqref="I14:I50">
    <cfRule type="containsText" dxfId="8" priority="1" operator="containsText" text="PENDENTE">
      <formula>NOT(ISERROR(SEARCH("PENDENTE",I14)))</formula>
    </cfRule>
    <cfRule type="containsText" dxfId="7" priority="2" operator="containsText" text="INCOMPLETO">
      <formula>NOT(ISERROR(SEARCH("INCOMPLETO",I14)))</formula>
    </cfRule>
    <cfRule type="containsText" dxfId="6" priority="3" operator="containsText" text="CONCLUÍDO">
      <formula>NOT(ISERROR(SEARCH("CONCLUÍDO",I14)))</formula>
    </cfRule>
  </conditionalFormatting>
  <dataValidations count="5">
    <dataValidation type="decimal" operator="greaterThanOrEqual" allowBlank="1" showInputMessage="1" showErrorMessage="1" sqref="H14:H51" xr:uid="{3D0F9760-8E86-4C46-A2E6-2BFF9079DFE1}">
      <formula1>0</formula1>
    </dataValidation>
    <dataValidation type="date" allowBlank="1" showInputMessage="1" showErrorMessage="1" sqref="C14" xr:uid="{ED649657-6B17-4D6D-A2B5-2A51D5D6FA4E}">
      <formula1>43831</formula1>
      <formula2>49674</formula2>
    </dataValidation>
    <dataValidation type="date" allowBlank="1" showInputMessage="1" showErrorMessage="1" error="Essa faixa é apenas uma validação inicial. Depois podemos ajustá-la para aceitar somente datas do ano-calendário correspondente." sqref="C15:C23" xr:uid="{C65B1BED-6AD0-4AD7-9C9B-FF1749A25D28}">
      <formula1>43831</formula1>
      <formula2>49674</formula2>
    </dataValidation>
    <dataValidation type="decimal" operator="greaterThan" allowBlank="1" showInputMessage="1" showErrorMessage="1" sqref="G14:G51" xr:uid="{AF624DF4-96E9-4FC8-9F30-58C2D2F0BDD0}">
      <formula1>0</formula1>
    </dataValidation>
    <dataValidation type="list" allowBlank="1" showInputMessage="1" showErrorMessage="1" sqref="F14:F51" xr:uid="{20EBB2D7-7142-4342-8AF6-F9444AF9C381}">
      <formula1>ListaDespesas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E8127-10BB-4555-900A-B34784DDBAA0}">
  <sheetPr>
    <tabColor rgb="FF17324D"/>
  </sheetPr>
  <dimension ref="A1:T54"/>
  <sheetViews>
    <sheetView showGridLines="0" showRowColHeaders="0" zoomScale="60" zoomScaleNormal="60" workbookViewId="0">
      <pane xSplit="1" topLeftCell="B1" activePane="topRight" state="frozen"/>
      <selection pane="topRight" activeCell="A53" sqref="A5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5" zeroHeight="1" x14ac:dyDescent="0.35"/>
  <cols>
    <col min="1" max="1" width="29.90625" style="4" customWidth="1"/>
    <col min="2" max="2" width="8.7265625" style="5" customWidth="1"/>
    <col min="3" max="3" width="12.453125" style="5" customWidth="1"/>
    <col min="4" max="4" width="22.81640625" style="5" customWidth="1"/>
    <col min="5" max="5" width="13.7265625" style="5" customWidth="1"/>
    <col min="6" max="6" width="13.453125" style="5" customWidth="1"/>
    <col min="7" max="7" width="13" style="5" customWidth="1"/>
    <col min="8" max="8" width="13.08984375" style="5" customWidth="1"/>
    <col min="9" max="9" width="15" style="5" customWidth="1"/>
    <col min="10" max="10" width="7.54296875" style="5" customWidth="1"/>
    <col min="11" max="11" width="8.7265625" style="5" hidden="1"/>
    <col min="12" max="12" width="11.36328125" style="35" hidden="1"/>
    <col min="13" max="16384" width="8.7265625" style="5" hidden="1"/>
  </cols>
  <sheetData>
    <row r="1" spans="1:20" x14ac:dyDescent="0.35"/>
    <row r="2" spans="1:20" x14ac:dyDescent="0.35"/>
    <row r="3" spans="1:20" ht="19.5" x14ac:dyDescent="0.45">
      <c r="C3" s="6" t="s">
        <v>159</v>
      </c>
      <c r="D3" s="6"/>
      <c r="E3" s="6"/>
      <c r="F3" s="4"/>
      <c r="G3" s="4"/>
      <c r="H3" s="4"/>
      <c r="J3" s="58">
        <f>SUM(G:G)</f>
        <v>250500</v>
      </c>
      <c r="L3" s="89"/>
      <c r="M3" s="90"/>
      <c r="N3" s="90"/>
      <c r="O3" s="90"/>
      <c r="P3" s="90"/>
      <c r="Q3" s="90"/>
      <c r="R3" s="90"/>
      <c r="S3" s="90"/>
      <c r="T3" s="90"/>
    </row>
    <row r="4" spans="1:20" x14ac:dyDescent="0.35">
      <c r="C4" s="38" t="s">
        <v>160</v>
      </c>
      <c r="D4" s="38"/>
      <c r="E4" s="38"/>
      <c r="J4" s="58">
        <f>SUM(H:H)</f>
        <v>249500</v>
      </c>
      <c r="L4" s="89"/>
      <c r="M4" s="90"/>
      <c r="N4" s="90"/>
      <c r="O4" s="90"/>
      <c r="P4" s="90"/>
      <c r="Q4" s="90"/>
      <c r="R4" s="90"/>
      <c r="S4" s="90"/>
      <c r="T4" s="90"/>
    </row>
    <row r="5" spans="1:20" x14ac:dyDescent="0.35">
      <c r="J5" s="39">
        <f>COUNTIF(I:I,"PENDENTE")+COUNTIF(I:I,"INCOMPLETO")</f>
        <v>1</v>
      </c>
      <c r="L5" s="82"/>
      <c r="M5" s="90"/>
      <c r="N5" s="90"/>
      <c r="O5" s="90"/>
      <c r="P5" s="90"/>
      <c r="Q5" s="90"/>
      <c r="R5" s="90"/>
      <c r="S5" s="90"/>
      <c r="T5" s="90"/>
    </row>
    <row r="6" spans="1:20" x14ac:dyDescent="0.35">
      <c r="L6" s="82"/>
      <c r="M6" s="90"/>
      <c r="N6" s="90"/>
      <c r="O6" s="90"/>
      <c r="P6" s="90"/>
      <c r="Q6" s="90"/>
      <c r="R6" s="90"/>
      <c r="S6" s="90"/>
      <c r="T6" s="90"/>
    </row>
    <row r="7" spans="1:20" x14ac:dyDescent="0.35">
      <c r="L7" s="82"/>
      <c r="M7" s="90"/>
      <c r="N7" s="90"/>
      <c r="O7" s="90"/>
      <c r="P7" s="90"/>
      <c r="Q7" s="90"/>
      <c r="R7" s="90"/>
      <c r="S7" s="90"/>
      <c r="T7" s="90"/>
    </row>
    <row r="8" spans="1:20" x14ac:dyDescent="0.35">
      <c r="L8" s="82"/>
      <c r="M8" s="90"/>
      <c r="N8" s="90"/>
      <c r="O8" s="90"/>
      <c r="P8" s="90"/>
      <c r="Q8" s="90"/>
      <c r="R8" s="90"/>
      <c r="S8" s="90"/>
      <c r="T8" s="90"/>
    </row>
    <row r="9" spans="1:20" x14ac:dyDescent="0.35">
      <c r="L9" s="82"/>
      <c r="M9" s="90"/>
      <c r="N9" s="90"/>
      <c r="O9" s="90"/>
      <c r="P9" s="90"/>
      <c r="Q9" s="90"/>
      <c r="R9" s="90"/>
      <c r="S9" s="90"/>
      <c r="T9" s="90"/>
    </row>
    <row r="10" spans="1:20" x14ac:dyDescent="0.35">
      <c r="L10" s="82"/>
      <c r="M10" s="90"/>
      <c r="N10" s="90"/>
      <c r="O10" s="90"/>
      <c r="P10" s="90"/>
      <c r="Q10" s="90"/>
      <c r="R10" s="90"/>
      <c r="S10" s="90"/>
      <c r="T10" s="90"/>
    </row>
    <row r="11" spans="1:20" x14ac:dyDescent="0.35">
      <c r="L11" s="82"/>
      <c r="M11" s="90"/>
      <c r="N11" s="90"/>
      <c r="O11" s="90"/>
      <c r="P11" s="90"/>
      <c r="Q11" s="90"/>
      <c r="R11" s="90"/>
      <c r="S11" s="90"/>
      <c r="T11" s="90"/>
    </row>
    <row r="12" spans="1:20" s="42" customFormat="1" ht="22" customHeight="1" x14ac:dyDescent="0.35">
      <c r="A12" s="41"/>
      <c r="C12" s="43" t="s">
        <v>161</v>
      </c>
      <c r="D12" s="43"/>
      <c r="E12" s="43"/>
      <c r="F12" s="43"/>
      <c r="G12" s="43"/>
      <c r="H12" s="43"/>
      <c r="I12" s="43"/>
      <c r="L12" s="91"/>
      <c r="M12" s="92"/>
      <c r="N12" s="92"/>
      <c r="O12" s="92"/>
      <c r="P12" s="92"/>
      <c r="Q12" s="92"/>
      <c r="R12" s="92"/>
      <c r="S12" s="92"/>
      <c r="T12" s="92"/>
    </row>
    <row r="13" spans="1:20" ht="26" x14ac:dyDescent="0.35">
      <c r="C13" s="45" t="s">
        <v>154</v>
      </c>
      <c r="D13" s="45" t="s">
        <v>155</v>
      </c>
      <c r="E13" s="45" t="s">
        <v>156</v>
      </c>
      <c r="F13" s="45" t="s">
        <v>157</v>
      </c>
      <c r="G13" s="45" t="s">
        <v>158</v>
      </c>
      <c r="H13" s="45" t="s">
        <v>12</v>
      </c>
      <c r="I13" s="45" t="s">
        <v>103</v>
      </c>
      <c r="L13" s="82"/>
      <c r="M13" s="90"/>
      <c r="N13" s="90"/>
      <c r="O13" s="90"/>
      <c r="P13" s="90"/>
      <c r="Q13" s="90"/>
      <c r="R13" s="90"/>
      <c r="S13" s="90"/>
      <c r="T13" s="90"/>
    </row>
    <row r="14" spans="1:20" ht="16" x14ac:dyDescent="0.35">
      <c r="C14" s="48" t="s">
        <v>162</v>
      </c>
      <c r="D14" s="49" t="s">
        <v>163</v>
      </c>
      <c r="E14" s="50" t="s">
        <v>164</v>
      </c>
      <c r="F14" s="61">
        <v>43539</v>
      </c>
      <c r="G14" s="52">
        <v>180000</v>
      </c>
      <c r="H14" s="52">
        <v>180000</v>
      </c>
      <c r="I14" s="46" t="str">
        <f t="shared" ref="I14:I50" si="0">IF(COUNTA(C14:H14)=0,"",IF(OR(C14="",D14="",E14="",F14="",G14="",H14=""),"INCOMPLETO","CONCLUÍDO"))</f>
        <v>CONCLUÍDO</v>
      </c>
      <c r="L14" s="82"/>
      <c r="M14" s="90"/>
      <c r="N14" s="90"/>
      <c r="O14" s="90"/>
      <c r="P14" s="90"/>
      <c r="Q14" s="90"/>
      <c r="R14" s="90"/>
      <c r="S14" s="90"/>
      <c r="T14" s="90"/>
    </row>
    <row r="15" spans="1:20" ht="16" x14ac:dyDescent="0.35">
      <c r="C15" s="48" t="s">
        <v>165</v>
      </c>
      <c r="D15" s="49" t="s">
        <v>166</v>
      </c>
      <c r="E15" s="50" t="s">
        <v>164</v>
      </c>
      <c r="F15" s="61">
        <v>44722</v>
      </c>
      <c r="G15" s="52">
        <v>45000</v>
      </c>
      <c r="H15" s="52">
        <v>45000</v>
      </c>
      <c r="I15" s="46" t="str">
        <f t="shared" si="0"/>
        <v>CONCLUÍDO</v>
      </c>
      <c r="L15" s="82"/>
      <c r="M15" s="90"/>
      <c r="N15" s="90"/>
      <c r="O15" s="90"/>
      <c r="P15" s="90"/>
      <c r="Q15" s="90"/>
      <c r="R15" s="90"/>
      <c r="S15" s="90"/>
      <c r="T15" s="90"/>
    </row>
    <row r="16" spans="1:20" ht="16" x14ac:dyDescent="0.35">
      <c r="C16" s="48" t="s">
        <v>167</v>
      </c>
      <c r="D16" s="49" t="s">
        <v>168</v>
      </c>
      <c r="E16" s="50" t="s">
        <v>127</v>
      </c>
      <c r="F16" s="61">
        <v>44938</v>
      </c>
      <c r="G16" s="52">
        <v>12000</v>
      </c>
      <c r="H16" s="52">
        <v>14500</v>
      </c>
      <c r="I16" s="46" t="str">
        <f t="shared" si="0"/>
        <v>CONCLUÍDO</v>
      </c>
      <c r="L16" s="82"/>
      <c r="M16" s="90"/>
      <c r="N16" s="90"/>
      <c r="O16" s="90"/>
      <c r="P16" s="90"/>
      <c r="Q16" s="90"/>
      <c r="R16" s="90"/>
      <c r="S16" s="90"/>
      <c r="T16" s="90"/>
    </row>
    <row r="17" spans="3:20" ht="32" x14ac:dyDescent="0.35">
      <c r="C17" s="48" t="s">
        <v>169</v>
      </c>
      <c r="D17" s="49" t="s">
        <v>170</v>
      </c>
      <c r="E17" s="50" t="s">
        <v>164</v>
      </c>
      <c r="F17" s="61">
        <v>44428</v>
      </c>
      <c r="G17" s="52">
        <v>10000</v>
      </c>
      <c r="H17" s="52">
        <v>10000</v>
      </c>
      <c r="I17" s="46" t="str">
        <f t="shared" si="0"/>
        <v>CONCLUÍDO</v>
      </c>
      <c r="L17" s="82"/>
      <c r="M17" s="90"/>
      <c r="N17" s="90"/>
      <c r="O17" s="90"/>
      <c r="P17" s="90"/>
      <c r="Q17" s="90"/>
      <c r="R17" s="90"/>
      <c r="S17" s="90"/>
      <c r="T17" s="90"/>
    </row>
    <row r="18" spans="3:20" ht="32" x14ac:dyDescent="0.35">
      <c r="C18" s="48" t="s">
        <v>171</v>
      </c>
      <c r="D18" s="49" t="s">
        <v>172</v>
      </c>
      <c r="E18" s="50" t="s">
        <v>164</v>
      </c>
      <c r="F18" s="61">
        <v>45400</v>
      </c>
      <c r="G18" s="52">
        <v>3500</v>
      </c>
      <c r="H18" s="52"/>
      <c r="I18" s="46" t="str">
        <f t="shared" si="0"/>
        <v>INCOMPLETO</v>
      </c>
      <c r="L18" s="82"/>
      <c r="M18" s="90"/>
      <c r="N18" s="90"/>
      <c r="O18" s="90"/>
      <c r="P18" s="90"/>
      <c r="Q18" s="90"/>
      <c r="R18" s="90"/>
      <c r="S18" s="90"/>
      <c r="T18" s="90"/>
    </row>
    <row r="19" spans="3:20" ht="16" x14ac:dyDescent="0.35">
      <c r="C19" s="48"/>
      <c r="D19" s="49"/>
      <c r="E19" s="50"/>
      <c r="F19" s="61"/>
      <c r="G19" s="52"/>
      <c r="H19" s="52"/>
      <c r="I19" s="46" t="str">
        <f t="shared" si="0"/>
        <v/>
      </c>
      <c r="L19" s="82"/>
      <c r="M19" s="90"/>
      <c r="N19" s="90"/>
      <c r="O19" s="90"/>
      <c r="P19" s="90"/>
      <c r="Q19" s="90"/>
      <c r="R19" s="90"/>
      <c r="S19" s="90"/>
      <c r="T19" s="90"/>
    </row>
    <row r="20" spans="3:20" ht="16" x14ac:dyDescent="0.35">
      <c r="C20" s="48"/>
      <c r="D20" s="49"/>
      <c r="E20" s="50"/>
      <c r="F20" s="61"/>
      <c r="G20" s="52"/>
      <c r="H20" s="52"/>
      <c r="I20" s="46" t="str">
        <f t="shared" si="0"/>
        <v/>
      </c>
      <c r="L20" s="82"/>
      <c r="M20" s="90"/>
      <c r="N20" s="90"/>
      <c r="O20" s="90"/>
      <c r="P20" s="90"/>
      <c r="Q20" s="90"/>
      <c r="R20" s="90"/>
      <c r="S20" s="90"/>
      <c r="T20" s="90"/>
    </row>
    <row r="21" spans="3:20" ht="16" x14ac:dyDescent="0.35">
      <c r="C21" s="48"/>
      <c r="D21" s="49"/>
      <c r="E21" s="50"/>
      <c r="F21" s="61"/>
      <c r="G21" s="52"/>
      <c r="H21" s="52"/>
      <c r="I21" s="46" t="str">
        <f t="shared" si="0"/>
        <v/>
      </c>
      <c r="L21" s="82"/>
      <c r="M21" s="90"/>
      <c r="N21" s="90"/>
      <c r="O21" s="90"/>
      <c r="P21" s="90"/>
      <c r="Q21" s="90"/>
      <c r="R21" s="90"/>
      <c r="S21" s="90"/>
      <c r="T21" s="90"/>
    </row>
    <row r="22" spans="3:20" ht="16" x14ac:dyDescent="0.35">
      <c r="C22" s="48"/>
      <c r="D22" s="49"/>
      <c r="E22" s="50"/>
      <c r="F22" s="61"/>
      <c r="G22" s="52"/>
      <c r="H22" s="52"/>
      <c r="I22" s="46" t="str">
        <f t="shared" si="0"/>
        <v/>
      </c>
      <c r="L22" s="82"/>
      <c r="M22" s="90"/>
      <c r="N22" s="90"/>
      <c r="O22" s="90"/>
      <c r="P22" s="90"/>
      <c r="Q22" s="90"/>
      <c r="R22" s="90"/>
      <c r="S22" s="90"/>
      <c r="T22" s="90"/>
    </row>
    <row r="23" spans="3:20" ht="16" x14ac:dyDescent="0.35">
      <c r="C23" s="48"/>
      <c r="D23" s="49"/>
      <c r="E23" s="50"/>
      <c r="F23" s="61"/>
      <c r="G23" s="51"/>
      <c r="H23" s="52"/>
      <c r="I23" s="46" t="str">
        <f t="shared" si="0"/>
        <v/>
      </c>
      <c r="L23" s="82"/>
      <c r="M23" s="90"/>
      <c r="N23" s="90"/>
      <c r="O23" s="90"/>
      <c r="P23" s="90"/>
      <c r="Q23" s="90"/>
      <c r="R23" s="90"/>
      <c r="S23" s="90"/>
      <c r="T23" s="90"/>
    </row>
    <row r="24" spans="3:20" ht="16" x14ac:dyDescent="0.35">
      <c r="C24" s="48"/>
      <c r="D24" s="49"/>
      <c r="E24" s="50"/>
      <c r="F24" s="61"/>
      <c r="G24" s="51"/>
      <c r="H24" s="52"/>
      <c r="I24" s="46" t="str">
        <f t="shared" si="0"/>
        <v/>
      </c>
      <c r="L24" s="82"/>
      <c r="M24" s="90"/>
      <c r="N24" s="90"/>
      <c r="O24" s="90"/>
      <c r="P24" s="90"/>
      <c r="Q24" s="90"/>
      <c r="R24" s="90"/>
      <c r="S24" s="90"/>
      <c r="T24" s="90"/>
    </row>
    <row r="25" spans="3:20" ht="16" x14ac:dyDescent="0.35">
      <c r="C25" s="48"/>
      <c r="D25" s="49"/>
      <c r="E25" s="50"/>
      <c r="F25" s="61"/>
      <c r="G25" s="51"/>
      <c r="H25" s="52"/>
      <c r="I25" s="46" t="str">
        <f t="shared" si="0"/>
        <v/>
      </c>
      <c r="L25" s="82"/>
      <c r="M25" s="90"/>
      <c r="N25" s="90"/>
      <c r="O25" s="90"/>
      <c r="P25" s="90"/>
      <c r="Q25" s="90"/>
      <c r="R25" s="90"/>
      <c r="S25" s="90"/>
      <c r="T25" s="90"/>
    </row>
    <row r="26" spans="3:20" ht="16" x14ac:dyDescent="0.35">
      <c r="C26" s="51"/>
      <c r="D26" s="49"/>
      <c r="E26" s="50"/>
      <c r="F26" s="61"/>
      <c r="G26" s="51"/>
      <c r="H26" s="52"/>
      <c r="I26" s="46" t="str">
        <f t="shared" si="0"/>
        <v/>
      </c>
      <c r="L26" s="82"/>
      <c r="M26" s="90"/>
      <c r="N26" s="90"/>
      <c r="O26" s="90"/>
      <c r="P26" s="90"/>
      <c r="Q26" s="90"/>
      <c r="R26" s="90"/>
      <c r="S26" s="90"/>
      <c r="T26" s="90"/>
    </row>
    <row r="27" spans="3:20" ht="16" x14ac:dyDescent="0.35">
      <c r="C27" s="51"/>
      <c r="D27" s="49"/>
      <c r="E27" s="50"/>
      <c r="F27" s="61"/>
      <c r="G27" s="51"/>
      <c r="H27" s="52"/>
      <c r="I27" s="46" t="str">
        <f t="shared" si="0"/>
        <v/>
      </c>
      <c r="L27" s="82"/>
      <c r="M27" s="90"/>
      <c r="N27" s="90"/>
      <c r="O27" s="90"/>
      <c r="P27" s="90"/>
      <c r="Q27" s="90"/>
      <c r="R27" s="90"/>
      <c r="S27" s="90"/>
      <c r="T27" s="90"/>
    </row>
    <row r="28" spans="3:20" ht="16" x14ac:dyDescent="0.35">
      <c r="C28" s="51"/>
      <c r="D28" s="49"/>
      <c r="E28" s="50"/>
      <c r="F28" s="61"/>
      <c r="G28" s="51"/>
      <c r="H28" s="52"/>
      <c r="I28" s="46" t="str">
        <f t="shared" si="0"/>
        <v/>
      </c>
      <c r="L28" s="82"/>
      <c r="M28" s="90"/>
      <c r="N28" s="90"/>
      <c r="O28" s="90"/>
      <c r="P28" s="90"/>
      <c r="Q28" s="90"/>
      <c r="R28" s="90"/>
      <c r="S28" s="90"/>
      <c r="T28" s="90"/>
    </row>
    <row r="29" spans="3:20" ht="16" x14ac:dyDescent="0.35">
      <c r="C29" s="51"/>
      <c r="D29" s="49"/>
      <c r="E29" s="50"/>
      <c r="F29" s="61"/>
      <c r="G29" s="51"/>
      <c r="H29" s="52"/>
      <c r="I29" s="46" t="str">
        <f t="shared" si="0"/>
        <v/>
      </c>
      <c r="L29" s="82"/>
      <c r="M29" s="90"/>
      <c r="N29" s="90"/>
      <c r="O29" s="90"/>
      <c r="P29" s="90"/>
      <c r="Q29" s="90"/>
      <c r="R29" s="90"/>
      <c r="S29" s="90"/>
      <c r="T29" s="90"/>
    </row>
    <row r="30" spans="3:20" ht="16" x14ac:dyDescent="0.35">
      <c r="C30" s="51"/>
      <c r="D30" s="49"/>
      <c r="E30" s="50"/>
      <c r="F30" s="61"/>
      <c r="G30" s="51"/>
      <c r="H30" s="52"/>
      <c r="I30" s="46" t="str">
        <f t="shared" si="0"/>
        <v/>
      </c>
      <c r="L30" s="82"/>
      <c r="M30" s="90"/>
      <c r="N30" s="90"/>
      <c r="O30" s="90"/>
      <c r="P30" s="90"/>
      <c r="Q30" s="90"/>
      <c r="R30" s="90"/>
      <c r="S30" s="90"/>
      <c r="T30" s="90"/>
    </row>
    <row r="31" spans="3:20" ht="16" x14ac:dyDescent="0.35">
      <c r="C31" s="51"/>
      <c r="D31" s="49"/>
      <c r="E31" s="50"/>
      <c r="F31" s="61"/>
      <c r="G31" s="51"/>
      <c r="H31" s="52"/>
      <c r="I31" s="46" t="str">
        <f t="shared" si="0"/>
        <v/>
      </c>
      <c r="L31" s="82"/>
      <c r="M31" s="90"/>
      <c r="N31" s="90"/>
      <c r="O31" s="90"/>
      <c r="P31" s="90"/>
      <c r="Q31" s="90"/>
      <c r="R31" s="90"/>
      <c r="S31" s="90"/>
      <c r="T31" s="90"/>
    </row>
    <row r="32" spans="3:20" ht="16" x14ac:dyDescent="0.35">
      <c r="C32" s="51"/>
      <c r="D32" s="49"/>
      <c r="E32" s="50"/>
      <c r="F32" s="61"/>
      <c r="G32" s="51"/>
      <c r="H32" s="52"/>
      <c r="I32" s="46" t="str">
        <f t="shared" si="0"/>
        <v/>
      </c>
      <c r="L32" s="82"/>
      <c r="M32" s="90"/>
      <c r="N32" s="90"/>
      <c r="O32" s="90"/>
      <c r="P32" s="90"/>
      <c r="Q32" s="90"/>
      <c r="R32" s="90"/>
      <c r="S32" s="90"/>
      <c r="T32" s="90"/>
    </row>
    <row r="33" spans="3:20" ht="16" x14ac:dyDescent="0.35">
      <c r="C33" s="51"/>
      <c r="D33" s="49"/>
      <c r="E33" s="50"/>
      <c r="F33" s="61"/>
      <c r="G33" s="51"/>
      <c r="H33" s="52"/>
      <c r="I33" s="46" t="str">
        <f t="shared" si="0"/>
        <v/>
      </c>
      <c r="L33" s="82"/>
      <c r="M33" s="90"/>
      <c r="N33" s="90"/>
      <c r="O33" s="90"/>
      <c r="P33" s="90"/>
      <c r="Q33" s="90"/>
      <c r="R33" s="90"/>
      <c r="S33" s="90"/>
      <c r="T33" s="90"/>
    </row>
    <row r="34" spans="3:20" ht="16" x14ac:dyDescent="0.35">
      <c r="C34" s="51"/>
      <c r="D34" s="49"/>
      <c r="E34" s="50"/>
      <c r="F34" s="61"/>
      <c r="G34" s="51"/>
      <c r="H34" s="52"/>
      <c r="I34" s="46" t="str">
        <f t="shared" si="0"/>
        <v/>
      </c>
      <c r="L34" s="82"/>
      <c r="M34" s="90"/>
      <c r="N34" s="90"/>
      <c r="O34" s="90"/>
      <c r="P34" s="90"/>
      <c r="Q34" s="90"/>
      <c r="R34" s="90"/>
      <c r="S34" s="90"/>
      <c r="T34" s="90"/>
    </row>
    <row r="35" spans="3:20" ht="16" x14ac:dyDescent="0.35">
      <c r="C35" s="51"/>
      <c r="D35" s="49"/>
      <c r="E35" s="50"/>
      <c r="F35" s="61"/>
      <c r="G35" s="51"/>
      <c r="H35" s="52"/>
      <c r="I35" s="46" t="str">
        <f t="shared" si="0"/>
        <v/>
      </c>
      <c r="L35" s="82"/>
      <c r="M35" s="90"/>
      <c r="N35" s="90"/>
      <c r="O35" s="90"/>
      <c r="P35" s="90"/>
      <c r="Q35" s="90"/>
      <c r="R35" s="90"/>
      <c r="S35" s="90"/>
      <c r="T35" s="90"/>
    </row>
    <row r="36" spans="3:20" ht="16" x14ac:dyDescent="0.35">
      <c r="C36" s="51"/>
      <c r="D36" s="49"/>
      <c r="E36" s="50"/>
      <c r="F36" s="61"/>
      <c r="G36" s="51"/>
      <c r="H36" s="52"/>
      <c r="I36" s="46" t="str">
        <f t="shared" si="0"/>
        <v/>
      </c>
      <c r="L36" s="82"/>
      <c r="M36" s="90"/>
      <c r="N36" s="90"/>
      <c r="O36" s="90"/>
      <c r="P36" s="90"/>
      <c r="Q36" s="90"/>
      <c r="R36" s="90"/>
      <c r="S36" s="90"/>
      <c r="T36" s="90"/>
    </row>
    <row r="37" spans="3:20" ht="16" x14ac:dyDescent="0.35">
      <c r="C37" s="51"/>
      <c r="D37" s="49"/>
      <c r="E37" s="50"/>
      <c r="F37" s="61"/>
      <c r="G37" s="51"/>
      <c r="H37" s="52"/>
      <c r="I37" s="46" t="str">
        <f t="shared" si="0"/>
        <v/>
      </c>
      <c r="L37" s="82"/>
      <c r="M37" s="90"/>
      <c r="N37" s="90"/>
      <c r="O37" s="90"/>
      <c r="P37" s="90"/>
      <c r="Q37" s="90"/>
      <c r="R37" s="90"/>
      <c r="S37" s="90"/>
      <c r="T37" s="90"/>
    </row>
    <row r="38" spans="3:20" ht="16" x14ac:dyDescent="0.35">
      <c r="C38" s="51"/>
      <c r="D38" s="49"/>
      <c r="E38" s="50"/>
      <c r="F38" s="61"/>
      <c r="G38" s="51"/>
      <c r="H38" s="52"/>
      <c r="I38" s="46" t="str">
        <f t="shared" si="0"/>
        <v/>
      </c>
      <c r="L38" s="82"/>
      <c r="M38" s="90"/>
      <c r="N38" s="90"/>
      <c r="O38" s="90"/>
      <c r="P38" s="90"/>
      <c r="Q38" s="90"/>
      <c r="R38" s="90"/>
      <c r="S38" s="90"/>
      <c r="T38" s="90"/>
    </row>
    <row r="39" spans="3:20" ht="16" x14ac:dyDescent="0.35">
      <c r="C39" s="51"/>
      <c r="D39" s="49"/>
      <c r="E39" s="50"/>
      <c r="F39" s="61"/>
      <c r="G39" s="51"/>
      <c r="H39" s="52"/>
      <c r="I39" s="46" t="str">
        <f t="shared" si="0"/>
        <v/>
      </c>
    </row>
    <row r="40" spans="3:20" ht="16" x14ac:dyDescent="0.35">
      <c r="C40" s="51"/>
      <c r="D40" s="49"/>
      <c r="E40" s="50"/>
      <c r="F40" s="61"/>
      <c r="G40" s="51"/>
      <c r="H40" s="52"/>
      <c r="I40" s="46" t="str">
        <f t="shared" si="0"/>
        <v/>
      </c>
    </row>
    <row r="41" spans="3:20" ht="16" x14ac:dyDescent="0.35">
      <c r="C41" s="51"/>
      <c r="D41" s="49"/>
      <c r="E41" s="50"/>
      <c r="F41" s="61"/>
      <c r="G41" s="51"/>
      <c r="H41" s="52"/>
      <c r="I41" s="46" t="str">
        <f t="shared" si="0"/>
        <v/>
      </c>
    </row>
    <row r="42" spans="3:20" ht="16" x14ac:dyDescent="0.35">
      <c r="C42" s="51"/>
      <c r="D42" s="49"/>
      <c r="E42" s="50"/>
      <c r="F42" s="61"/>
      <c r="G42" s="51"/>
      <c r="H42" s="52"/>
      <c r="I42" s="46" t="str">
        <f t="shared" si="0"/>
        <v/>
      </c>
    </row>
    <row r="43" spans="3:20" ht="16" x14ac:dyDescent="0.35">
      <c r="C43" s="51"/>
      <c r="D43" s="49"/>
      <c r="E43" s="50"/>
      <c r="F43" s="61"/>
      <c r="G43" s="51"/>
      <c r="H43" s="52"/>
      <c r="I43" s="46" t="str">
        <f t="shared" si="0"/>
        <v/>
      </c>
    </row>
    <row r="44" spans="3:20" ht="16" x14ac:dyDescent="0.35">
      <c r="C44" s="51"/>
      <c r="D44" s="49"/>
      <c r="E44" s="50"/>
      <c r="F44" s="61"/>
      <c r="G44" s="51"/>
      <c r="H44" s="52"/>
      <c r="I44" s="46" t="str">
        <f t="shared" si="0"/>
        <v/>
      </c>
    </row>
    <row r="45" spans="3:20" ht="16" x14ac:dyDescent="0.35">
      <c r="C45" s="51"/>
      <c r="D45" s="49"/>
      <c r="E45" s="50"/>
      <c r="F45" s="61"/>
      <c r="G45" s="51"/>
      <c r="H45" s="52"/>
      <c r="I45" s="46" t="str">
        <f t="shared" si="0"/>
        <v/>
      </c>
    </row>
    <row r="46" spans="3:20" ht="16" x14ac:dyDescent="0.35">
      <c r="C46" s="51"/>
      <c r="D46" s="49"/>
      <c r="E46" s="50"/>
      <c r="F46" s="61"/>
      <c r="G46" s="51"/>
      <c r="H46" s="52"/>
      <c r="I46" s="46" t="str">
        <f t="shared" si="0"/>
        <v/>
      </c>
    </row>
    <row r="47" spans="3:20" ht="16" x14ac:dyDescent="0.35">
      <c r="C47" s="51"/>
      <c r="D47" s="49"/>
      <c r="E47" s="50"/>
      <c r="F47" s="61"/>
      <c r="G47" s="51"/>
      <c r="H47" s="52"/>
      <c r="I47" s="46" t="str">
        <f t="shared" si="0"/>
        <v/>
      </c>
    </row>
    <row r="48" spans="3:20" ht="16" x14ac:dyDescent="0.35">
      <c r="C48" s="51"/>
      <c r="D48" s="49"/>
      <c r="E48" s="50"/>
      <c r="F48" s="61"/>
      <c r="G48" s="51"/>
      <c r="H48" s="52"/>
      <c r="I48" s="46" t="str">
        <f t="shared" si="0"/>
        <v/>
      </c>
    </row>
    <row r="49" spans="3:9" ht="16" x14ac:dyDescent="0.35">
      <c r="C49" s="51"/>
      <c r="D49" s="49"/>
      <c r="E49" s="50"/>
      <c r="F49" s="61"/>
      <c r="G49" s="51"/>
      <c r="H49" s="52"/>
      <c r="I49" s="46" t="str">
        <f t="shared" si="0"/>
        <v/>
      </c>
    </row>
    <row r="50" spans="3:9" ht="16" x14ac:dyDescent="0.35">
      <c r="C50" s="51"/>
      <c r="D50" s="49"/>
      <c r="E50" s="50"/>
      <c r="F50" s="61"/>
      <c r="G50" s="51"/>
      <c r="H50" s="52"/>
      <c r="I50" s="46" t="str">
        <f t="shared" si="0"/>
        <v/>
      </c>
    </row>
    <row r="51" spans="3:9" ht="16" x14ac:dyDescent="0.35">
      <c r="C51" s="51"/>
      <c r="D51" s="49"/>
      <c r="E51" s="53"/>
      <c r="F51" s="61"/>
      <c r="G51" s="51"/>
      <c r="H51" s="52"/>
      <c r="I51" s="47"/>
    </row>
    <row r="52" spans="3:9" x14ac:dyDescent="0.35"/>
    <row r="53" spans="3:9" x14ac:dyDescent="0.35"/>
    <row r="54" spans="3:9" x14ac:dyDescent="0.35"/>
  </sheetData>
  <sheetProtection sheet="1"/>
  <mergeCells count="1">
    <mergeCell ref="C12:I12"/>
  </mergeCells>
  <conditionalFormatting sqref="I14:I50">
    <cfRule type="containsText" dxfId="5" priority="1" operator="containsText" text="PENDENTE">
      <formula>NOT(ISERROR(SEARCH("PENDENTE",I14)))</formula>
    </cfRule>
    <cfRule type="containsText" dxfId="4" priority="2" operator="containsText" text="INCOMPLETO">
      <formula>NOT(ISERROR(SEARCH("INCOMPLETO",I14)))</formula>
    </cfRule>
    <cfRule type="containsText" dxfId="3" priority="3" operator="containsText" text="CONCLUÍDO">
      <formula>NOT(ISERROR(SEARCH("CONCLUÍDO",I14)))</formula>
    </cfRule>
  </conditionalFormatting>
  <dataValidations count="3">
    <dataValidation type="decimal" operator="greaterThanOrEqual" allowBlank="1" showInputMessage="1" showErrorMessage="1" sqref="G14:H51" xr:uid="{FC11875B-4F35-42AD-9A3E-44D53AFAAC21}">
      <formula1>0</formula1>
    </dataValidation>
    <dataValidation type="date" allowBlank="1" showInputMessage="1" showErrorMessage="1" sqref="F14:F51" xr:uid="{6028F959-D822-4AF4-9316-76D0D99E4D50}">
      <formula1>1</formula1>
      <formula2>46022</formula2>
    </dataValidation>
    <dataValidation type="list" allowBlank="1" showInputMessage="1" showErrorMessage="1" sqref="C14:C51" xr:uid="{0F2247AF-C219-4425-92D6-04B0A88935D4}">
      <formula1>ListaBens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81A75-B39B-4288-8A63-DD6B2320AAB0}">
  <sheetPr>
    <tabColor rgb="FF17324D"/>
  </sheetPr>
  <dimension ref="A1:M54"/>
  <sheetViews>
    <sheetView showGridLines="0" showRowColHeaders="0" zoomScale="60" zoomScaleNormal="60" workbookViewId="0">
      <pane xSplit="1" topLeftCell="B1" activePane="topRight" state="frozen"/>
      <selection pane="topRight" activeCell="A53" sqref="A5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5" zeroHeight="1" x14ac:dyDescent="0.35"/>
  <cols>
    <col min="1" max="1" width="29.90625" style="4" customWidth="1"/>
    <col min="2" max="2" width="8.7265625" style="5" customWidth="1"/>
    <col min="3" max="3" width="21.453125" style="5" customWidth="1"/>
    <col min="4" max="4" width="18.36328125" style="5" customWidth="1"/>
    <col min="5" max="5" width="13.7265625" style="5" customWidth="1"/>
    <col min="6" max="6" width="12.6328125" style="5" customWidth="1"/>
    <col min="7" max="7" width="21" style="5" customWidth="1"/>
    <col min="8" max="8" width="15" style="5" customWidth="1"/>
    <col min="9" max="9" width="8.7265625" style="5" customWidth="1"/>
    <col min="10" max="10" width="8.7265625" style="5" hidden="1" customWidth="1"/>
    <col min="11" max="11" width="11.36328125" style="35" hidden="1" customWidth="1"/>
    <col min="12" max="13" width="11.36328125" style="5" hidden="1" customWidth="1"/>
    <col min="14" max="16384" width="8.7265625" style="5" hidden="1"/>
  </cols>
  <sheetData>
    <row r="1" spans="1:11" x14ac:dyDescent="0.35"/>
    <row r="2" spans="1:11" x14ac:dyDescent="0.35">
      <c r="I2" s="40"/>
    </row>
    <row r="3" spans="1:11" ht="19.5" x14ac:dyDescent="0.45">
      <c r="C3" s="6" t="s">
        <v>176</v>
      </c>
      <c r="D3" s="6"/>
      <c r="E3" s="6"/>
      <c r="F3" s="4"/>
      <c r="G3" s="4"/>
      <c r="I3" s="62">
        <f>COUNTA(C14:C112)</f>
        <v>10</v>
      </c>
      <c r="K3" s="37" t="e">
        <f>SUM(#REF!)</f>
        <v>#REF!</v>
      </c>
    </row>
    <row r="4" spans="1:11" x14ac:dyDescent="0.35">
      <c r="C4" s="38" t="s">
        <v>177</v>
      </c>
      <c r="D4" s="38"/>
      <c r="E4" s="38"/>
      <c r="I4" s="62">
        <f>COUNTIFS(C14:C112,"&lt;&gt;",F14:F112,"SIM")</f>
        <v>8</v>
      </c>
      <c r="K4" s="37">
        <f>SUM(H:H)</f>
        <v>0</v>
      </c>
    </row>
    <row r="5" spans="1:11" x14ac:dyDescent="0.35">
      <c r="I5" s="62">
        <f>COUNTIF(H14:H112,"PENDENTE")+COUNTIF(H14:H112,"INCOMPLETO")</f>
        <v>2</v>
      </c>
      <c r="K5" s="40" t="e">
        <f>COUNTIF(DOCUMENTOS!#REF!,"PENDENTE")+COUNTIF(DOCUMENTOS!#REF!,"INCOMPLETO")</f>
        <v>#REF!</v>
      </c>
    </row>
    <row r="6" spans="1:11" x14ac:dyDescent="0.35"/>
    <row r="7" spans="1:11" x14ac:dyDescent="0.35"/>
    <row r="8" spans="1:11" x14ac:dyDescent="0.35"/>
    <row r="9" spans="1:11" x14ac:dyDescent="0.35"/>
    <row r="10" spans="1:11" x14ac:dyDescent="0.35"/>
    <row r="11" spans="1:11" x14ac:dyDescent="0.35"/>
    <row r="12" spans="1:11" s="42" customFormat="1" ht="22" customHeight="1" x14ac:dyDescent="0.35">
      <c r="A12" s="41"/>
      <c r="C12" s="43" t="s">
        <v>236</v>
      </c>
      <c r="D12" s="43"/>
      <c r="E12" s="43"/>
      <c r="F12" s="43"/>
      <c r="G12" s="43"/>
      <c r="H12" s="43"/>
      <c r="K12" s="44"/>
    </row>
    <row r="13" spans="1:11" ht="26" customHeight="1" x14ac:dyDescent="0.35">
      <c r="C13" s="88" t="s">
        <v>173</v>
      </c>
      <c r="D13" s="88" t="s">
        <v>64</v>
      </c>
      <c r="E13" s="88" t="s">
        <v>66</v>
      </c>
      <c r="F13" s="88" t="s">
        <v>174</v>
      </c>
      <c r="G13" s="88" t="s">
        <v>175</v>
      </c>
      <c r="H13" s="88" t="s">
        <v>103</v>
      </c>
    </row>
    <row r="14" spans="1:11" ht="16" x14ac:dyDescent="0.35">
      <c r="C14" s="63" t="s">
        <v>186</v>
      </c>
      <c r="D14" s="51" t="s">
        <v>178</v>
      </c>
      <c r="E14" s="54">
        <v>2025</v>
      </c>
      <c r="F14" s="61" t="s">
        <v>6</v>
      </c>
      <c r="G14" s="64" t="s">
        <v>194</v>
      </c>
      <c r="H14" s="46" t="str">
        <f t="shared" ref="H14:H24" si="0">IF(COUNTA(C14:G14)=0,"",IF(OR(C14="",D14="",E14="",F14=""),"INCOMPLETO",IF(F14="NÃO","PENDENTE",IF(G14="","INCOMPLETO","CONCLUÍDO"))))</f>
        <v>CONCLUÍDO</v>
      </c>
    </row>
    <row r="15" spans="1:11" ht="16" x14ac:dyDescent="0.35">
      <c r="C15" s="63" t="s">
        <v>187</v>
      </c>
      <c r="D15" s="51" t="s">
        <v>179</v>
      </c>
      <c r="E15" s="54">
        <v>2025</v>
      </c>
      <c r="F15" s="61" t="s">
        <v>6</v>
      </c>
      <c r="G15" s="64" t="s">
        <v>195</v>
      </c>
      <c r="H15" s="46" t="str">
        <f t="shared" si="0"/>
        <v>CONCLUÍDO</v>
      </c>
    </row>
    <row r="16" spans="1:11" ht="16" x14ac:dyDescent="0.35">
      <c r="C16" s="63" t="s">
        <v>188</v>
      </c>
      <c r="D16" s="51" t="s">
        <v>180</v>
      </c>
      <c r="E16" s="54">
        <v>2025</v>
      </c>
      <c r="F16" s="61" t="s">
        <v>6</v>
      </c>
      <c r="G16" s="64" t="s">
        <v>196</v>
      </c>
      <c r="H16" s="46" t="str">
        <f t="shared" si="0"/>
        <v>CONCLUÍDO</v>
      </c>
    </row>
    <row r="17" spans="3:8" ht="16" x14ac:dyDescent="0.35">
      <c r="C17" s="63" t="s">
        <v>189</v>
      </c>
      <c r="D17" s="51" t="s">
        <v>181</v>
      </c>
      <c r="E17" s="54">
        <v>2025</v>
      </c>
      <c r="F17" s="61" t="s">
        <v>6</v>
      </c>
      <c r="G17" s="64" t="s">
        <v>197</v>
      </c>
      <c r="H17" s="46" t="str">
        <f t="shared" si="0"/>
        <v>CONCLUÍDO</v>
      </c>
    </row>
    <row r="18" spans="3:8" ht="16" x14ac:dyDescent="0.35">
      <c r="C18" s="63" t="s">
        <v>190</v>
      </c>
      <c r="D18" s="51" t="s">
        <v>181</v>
      </c>
      <c r="E18" s="54">
        <v>2025</v>
      </c>
      <c r="F18" s="61" t="s">
        <v>7</v>
      </c>
      <c r="G18" s="64"/>
      <c r="H18" s="46" t="str">
        <f t="shared" si="0"/>
        <v>PENDENTE</v>
      </c>
    </row>
    <row r="19" spans="3:8" ht="16" x14ac:dyDescent="0.35">
      <c r="C19" s="63" t="s">
        <v>182</v>
      </c>
      <c r="D19" s="51" t="s">
        <v>183</v>
      </c>
      <c r="E19" s="54">
        <v>2025</v>
      </c>
      <c r="F19" s="61" t="s">
        <v>6</v>
      </c>
      <c r="G19" s="64" t="s">
        <v>198</v>
      </c>
      <c r="H19" s="46" t="str">
        <f t="shared" si="0"/>
        <v>CONCLUÍDO</v>
      </c>
    </row>
    <row r="20" spans="3:8" ht="16" x14ac:dyDescent="0.35">
      <c r="C20" s="63" t="s">
        <v>184</v>
      </c>
      <c r="D20" s="51" t="s">
        <v>183</v>
      </c>
      <c r="E20" s="54">
        <v>2025</v>
      </c>
      <c r="F20" s="61" t="s">
        <v>6</v>
      </c>
      <c r="G20" s="64" t="s">
        <v>199</v>
      </c>
      <c r="H20" s="46" t="str">
        <f t="shared" si="0"/>
        <v>CONCLUÍDO</v>
      </c>
    </row>
    <row r="21" spans="3:8" ht="16" x14ac:dyDescent="0.35">
      <c r="C21" s="63" t="s">
        <v>191</v>
      </c>
      <c r="D21" s="51" t="s">
        <v>181</v>
      </c>
      <c r="E21" s="54">
        <v>2025</v>
      </c>
      <c r="F21" s="61" t="s">
        <v>7</v>
      </c>
      <c r="G21" s="64"/>
      <c r="H21" s="46" t="str">
        <f t="shared" si="0"/>
        <v>PENDENTE</v>
      </c>
    </row>
    <row r="22" spans="3:8" ht="16" x14ac:dyDescent="0.35">
      <c r="C22" s="63" t="s">
        <v>192</v>
      </c>
      <c r="D22" s="51" t="s">
        <v>185</v>
      </c>
      <c r="E22" s="54">
        <v>2025</v>
      </c>
      <c r="F22" s="61" t="s">
        <v>6</v>
      </c>
      <c r="G22" s="64" t="s">
        <v>200</v>
      </c>
      <c r="H22" s="46" t="str">
        <f t="shared" si="0"/>
        <v>CONCLUÍDO</v>
      </c>
    </row>
    <row r="23" spans="3:8" ht="16" x14ac:dyDescent="0.35">
      <c r="C23" s="63" t="s">
        <v>193</v>
      </c>
      <c r="D23" s="51" t="s">
        <v>180</v>
      </c>
      <c r="E23" s="54">
        <v>2025</v>
      </c>
      <c r="F23" s="61" t="s">
        <v>6</v>
      </c>
      <c r="G23" s="65" t="s">
        <v>201</v>
      </c>
      <c r="H23" s="46" t="str">
        <f t="shared" si="0"/>
        <v>CONCLUÍDO</v>
      </c>
    </row>
    <row r="24" spans="3:8" ht="16" x14ac:dyDescent="0.35">
      <c r="C24" s="48"/>
      <c r="D24" s="49"/>
      <c r="E24" s="55"/>
      <c r="F24" s="61"/>
      <c r="G24" s="51"/>
      <c r="H24" s="46" t="str">
        <f t="shared" si="0"/>
        <v/>
      </c>
    </row>
    <row r="25" spans="3:8" ht="16" x14ac:dyDescent="0.35">
      <c r="C25" s="48"/>
      <c r="D25" s="49"/>
      <c r="E25" s="55"/>
      <c r="F25" s="61"/>
      <c r="G25" s="51"/>
      <c r="H25" s="46" t="str">
        <f t="shared" ref="H25:H51" si="1">IF(COUNTA(C25:G25)=0,"",IF(OR(C25="",D25="",E25="",F25=""),"INCOMPLETO",IF(F25="NÃO","PENDENTE",IF(G25="","INCOMPLETO","CONCLUÍDO"))))</f>
        <v/>
      </c>
    </row>
    <row r="26" spans="3:8" ht="16" x14ac:dyDescent="0.35">
      <c r="C26" s="51"/>
      <c r="D26" s="49"/>
      <c r="E26" s="55"/>
      <c r="F26" s="61"/>
      <c r="G26" s="51"/>
      <c r="H26" s="46" t="str">
        <f t="shared" si="1"/>
        <v/>
      </c>
    </row>
    <row r="27" spans="3:8" ht="16" x14ac:dyDescent="0.35">
      <c r="C27" s="51"/>
      <c r="D27" s="49"/>
      <c r="E27" s="55"/>
      <c r="F27" s="61"/>
      <c r="G27" s="51"/>
      <c r="H27" s="46" t="str">
        <f t="shared" si="1"/>
        <v/>
      </c>
    </row>
    <row r="28" spans="3:8" ht="16" x14ac:dyDescent="0.35">
      <c r="C28" s="51"/>
      <c r="D28" s="49"/>
      <c r="E28" s="55"/>
      <c r="F28" s="61"/>
      <c r="G28" s="51"/>
      <c r="H28" s="46" t="str">
        <f t="shared" si="1"/>
        <v/>
      </c>
    </row>
    <row r="29" spans="3:8" ht="16" x14ac:dyDescent="0.35">
      <c r="C29" s="51"/>
      <c r="D29" s="49"/>
      <c r="E29" s="55"/>
      <c r="F29" s="61"/>
      <c r="G29" s="51"/>
      <c r="H29" s="46" t="str">
        <f t="shared" si="1"/>
        <v/>
      </c>
    </row>
    <row r="30" spans="3:8" ht="16" x14ac:dyDescent="0.35">
      <c r="C30" s="51"/>
      <c r="D30" s="49"/>
      <c r="E30" s="55"/>
      <c r="F30" s="61"/>
      <c r="G30" s="51"/>
      <c r="H30" s="46" t="str">
        <f t="shared" si="1"/>
        <v/>
      </c>
    </row>
    <row r="31" spans="3:8" ht="16" x14ac:dyDescent="0.35">
      <c r="C31" s="51"/>
      <c r="D31" s="49"/>
      <c r="E31" s="55"/>
      <c r="F31" s="61"/>
      <c r="G31" s="51"/>
      <c r="H31" s="46" t="str">
        <f t="shared" si="1"/>
        <v/>
      </c>
    </row>
    <row r="32" spans="3:8" ht="16" x14ac:dyDescent="0.35">
      <c r="C32" s="51"/>
      <c r="D32" s="49"/>
      <c r="E32" s="55"/>
      <c r="F32" s="61"/>
      <c r="G32" s="51"/>
      <c r="H32" s="46" t="str">
        <f t="shared" si="1"/>
        <v/>
      </c>
    </row>
    <row r="33" spans="3:8" ht="16" x14ac:dyDescent="0.35">
      <c r="C33" s="51"/>
      <c r="D33" s="49"/>
      <c r="E33" s="55"/>
      <c r="F33" s="61"/>
      <c r="G33" s="51"/>
      <c r="H33" s="46" t="str">
        <f t="shared" si="1"/>
        <v/>
      </c>
    </row>
    <row r="34" spans="3:8" ht="16" x14ac:dyDescent="0.35">
      <c r="C34" s="51"/>
      <c r="D34" s="49"/>
      <c r="E34" s="55"/>
      <c r="F34" s="61"/>
      <c r="G34" s="51"/>
      <c r="H34" s="46" t="str">
        <f t="shared" si="1"/>
        <v/>
      </c>
    </row>
    <row r="35" spans="3:8" ht="16" x14ac:dyDescent="0.35">
      <c r="C35" s="51"/>
      <c r="D35" s="49"/>
      <c r="E35" s="55"/>
      <c r="F35" s="61"/>
      <c r="G35" s="51"/>
      <c r="H35" s="46" t="str">
        <f t="shared" si="1"/>
        <v/>
      </c>
    </row>
    <row r="36" spans="3:8" ht="16" x14ac:dyDescent="0.35">
      <c r="C36" s="51"/>
      <c r="D36" s="49"/>
      <c r="E36" s="55"/>
      <c r="F36" s="61"/>
      <c r="G36" s="51"/>
      <c r="H36" s="46" t="str">
        <f t="shared" si="1"/>
        <v/>
      </c>
    </row>
    <row r="37" spans="3:8" ht="16" x14ac:dyDescent="0.35">
      <c r="C37" s="51"/>
      <c r="D37" s="49"/>
      <c r="E37" s="55"/>
      <c r="F37" s="61"/>
      <c r="G37" s="51"/>
      <c r="H37" s="46" t="str">
        <f t="shared" si="1"/>
        <v/>
      </c>
    </row>
    <row r="38" spans="3:8" ht="16" x14ac:dyDescent="0.35">
      <c r="C38" s="51"/>
      <c r="D38" s="49"/>
      <c r="E38" s="55"/>
      <c r="F38" s="61"/>
      <c r="G38" s="51"/>
      <c r="H38" s="46" t="str">
        <f t="shared" si="1"/>
        <v/>
      </c>
    </row>
    <row r="39" spans="3:8" ht="16" x14ac:dyDescent="0.35">
      <c r="C39" s="51"/>
      <c r="D39" s="49"/>
      <c r="E39" s="55"/>
      <c r="F39" s="61"/>
      <c r="G39" s="51"/>
      <c r="H39" s="46" t="str">
        <f t="shared" si="1"/>
        <v/>
      </c>
    </row>
    <row r="40" spans="3:8" ht="16" x14ac:dyDescent="0.35">
      <c r="C40" s="51"/>
      <c r="D40" s="49"/>
      <c r="E40" s="55"/>
      <c r="F40" s="61"/>
      <c r="G40" s="51"/>
      <c r="H40" s="46" t="str">
        <f t="shared" si="1"/>
        <v/>
      </c>
    </row>
    <row r="41" spans="3:8" ht="16" x14ac:dyDescent="0.35">
      <c r="C41" s="51"/>
      <c r="D41" s="49"/>
      <c r="E41" s="55"/>
      <c r="F41" s="61"/>
      <c r="G41" s="51"/>
      <c r="H41" s="46" t="str">
        <f t="shared" si="1"/>
        <v/>
      </c>
    </row>
    <row r="42" spans="3:8" ht="16" x14ac:dyDescent="0.35">
      <c r="C42" s="51"/>
      <c r="D42" s="49"/>
      <c r="E42" s="55"/>
      <c r="F42" s="61"/>
      <c r="G42" s="51"/>
      <c r="H42" s="46" t="str">
        <f t="shared" si="1"/>
        <v/>
      </c>
    </row>
    <row r="43" spans="3:8" ht="16" x14ac:dyDescent="0.35">
      <c r="C43" s="51"/>
      <c r="D43" s="49"/>
      <c r="E43" s="55"/>
      <c r="F43" s="61"/>
      <c r="G43" s="51"/>
      <c r="H43" s="46" t="str">
        <f t="shared" si="1"/>
        <v/>
      </c>
    </row>
    <row r="44" spans="3:8" ht="16" x14ac:dyDescent="0.35">
      <c r="C44" s="51"/>
      <c r="D44" s="49"/>
      <c r="E44" s="55"/>
      <c r="F44" s="61"/>
      <c r="G44" s="51"/>
      <c r="H44" s="46" t="str">
        <f t="shared" si="1"/>
        <v/>
      </c>
    </row>
    <row r="45" spans="3:8" ht="16" x14ac:dyDescent="0.35">
      <c r="C45" s="51"/>
      <c r="D45" s="49"/>
      <c r="E45" s="55"/>
      <c r="F45" s="61"/>
      <c r="G45" s="51"/>
      <c r="H45" s="46" t="str">
        <f t="shared" si="1"/>
        <v/>
      </c>
    </row>
    <row r="46" spans="3:8" ht="16" x14ac:dyDescent="0.35">
      <c r="C46" s="51"/>
      <c r="D46" s="49"/>
      <c r="E46" s="55"/>
      <c r="F46" s="61"/>
      <c r="G46" s="51"/>
      <c r="H46" s="46" t="str">
        <f t="shared" si="1"/>
        <v/>
      </c>
    </row>
    <row r="47" spans="3:8" ht="16" x14ac:dyDescent="0.35">
      <c r="C47" s="51"/>
      <c r="D47" s="49"/>
      <c r="E47" s="55"/>
      <c r="F47" s="61"/>
      <c r="G47" s="51"/>
      <c r="H47" s="46" t="str">
        <f t="shared" si="1"/>
        <v/>
      </c>
    </row>
    <row r="48" spans="3:8" ht="16" x14ac:dyDescent="0.35">
      <c r="C48" s="51"/>
      <c r="D48" s="49"/>
      <c r="E48" s="55"/>
      <c r="F48" s="61"/>
      <c r="G48" s="51"/>
      <c r="H48" s="46" t="str">
        <f t="shared" si="1"/>
        <v/>
      </c>
    </row>
    <row r="49" spans="3:8" ht="16" x14ac:dyDescent="0.35">
      <c r="C49" s="51"/>
      <c r="D49" s="49"/>
      <c r="E49" s="55"/>
      <c r="F49" s="61"/>
      <c r="G49" s="51"/>
      <c r="H49" s="46" t="str">
        <f t="shared" si="1"/>
        <v/>
      </c>
    </row>
    <row r="50" spans="3:8" ht="16" x14ac:dyDescent="0.35">
      <c r="C50" s="51"/>
      <c r="D50" s="49"/>
      <c r="E50" s="55"/>
      <c r="F50" s="61"/>
      <c r="G50" s="51"/>
      <c r="H50" s="46" t="str">
        <f t="shared" si="1"/>
        <v/>
      </c>
    </row>
    <row r="51" spans="3:8" ht="16" x14ac:dyDescent="0.35">
      <c r="C51" s="51"/>
      <c r="D51" s="49"/>
      <c r="E51" s="53"/>
      <c r="F51" s="61"/>
      <c r="G51" s="51"/>
      <c r="H51" s="46" t="str">
        <f t="shared" si="1"/>
        <v/>
      </c>
    </row>
    <row r="52" spans="3:8" x14ac:dyDescent="0.35"/>
    <row r="53" spans="3:8" x14ac:dyDescent="0.35"/>
    <row r="54" spans="3:8" x14ac:dyDescent="0.35"/>
  </sheetData>
  <sheetProtection sheet="1"/>
  <mergeCells count="1">
    <mergeCell ref="C12:H12"/>
  </mergeCells>
  <conditionalFormatting sqref="H14:H51">
    <cfRule type="containsText" dxfId="2" priority="1" operator="containsText" text="PENDENTE">
      <formula>NOT(ISERROR(SEARCH("PENDENTE",H14)))</formula>
    </cfRule>
    <cfRule type="containsText" dxfId="1" priority="2" operator="containsText" text="INCOMPLETO">
      <formula>NOT(ISERROR(SEARCH("INCOMPLETO",H14)))</formula>
    </cfRule>
    <cfRule type="containsText" dxfId="0" priority="3" operator="containsText" text="CONCLUÍDO">
      <formula>NOT(ISERROR(SEARCH("CONCLUÍDO",H14)))</formula>
    </cfRule>
  </conditionalFormatting>
  <dataValidations count="3">
    <dataValidation type="list" allowBlank="1" showInputMessage="1" showErrorMessage="1" sqref="D14:D51" xr:uid="{D671E439-E4AE-483D-A74E-7F06B31AA9B5}">
      <formula1>ListaDocumentos</formula1>
    </dataValidation>
    <dataValidation type="whole" allowBlank="1" showInputMessage="1" showErrorMessage="1" sqref="E14:E51" xr:uid="{A9A4649C-84D9-4E00-B6E2-937E258E3DA8}">
      <formula1>2020</formula1>
      <formula2>2035</formula2>
    </dataValidation>
    <dataValidation type="list" allowBlank="1" showInputMessage="1" showErrorMessage="1" sqref="F14:F51" xr:uid="{A9BB3F5C-A1E8-4AD0-811B-7D292FD8C5A2}">
      <formula1>"SIM,NÃO"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4D416-2C5D-479C-A4FB-26FD503A9980}">
  <sheetPr>
    <tabColor rgb="FF17324D"/>
  </sheetPr>
  <dimension ref="A1:XFD54"/>
  <sheetViews>
    <sheetView showGridLines="0" showRowColHeaders="0" zoomScale="60" zoomScaleNormal="60" workbookViewId="0">
      <pane xSplit="1" topLeftCell="B1" activePane="topRight" state="frozen"/>
      <selection pane="topRight" activeCell="A54" sqref="A5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5" zeroHeight="1" x14ac:dyDescent="0.35"/>
  <cols>
    <col min="1" max="1" width="29.90625" style="4" customWidth="1"/>
    <col min="2" max="2" width="8.7265625" style="5" customWidth="1"/>
    <col min="3" max="3" width="21.453125" style="5" customWidth="1"/>
    <col min="4" max="4" width="18.36328125" style="5" customWidth="1"/>
    <col min="5" max="5" width="13.7265625" style="5" customWidth="1"/>
    <col min="6" max="6" width="12.6328125" style="5" customWidth="1"/>
    <col min="7" max="7" width="21" style="5" customWidth="1"/>
    <col min="8" max="8" width="15" style="5" customWidth="1"/>
    <col min="9" max="9" width="9.54296875" style="5" hidden="1" customWidth="1"/>
    <col min="10" max="10" width="8.7265625" style="67" customWidth="1"/>
    <col min="11" max="11" width="8.7265625" style="67" hidden="1"/>
    <col min="12" max="12" width="11.36328125" style="67" hidden="1"/>
    <col min="13" max="14" width="11.36328125" style="68" hidden="1"/>
    <col min="15" max="16383" width="8.7265625" style="68" hidden="1"/>
    <col min="16384" max="16384" width="7.7265625" style="68" hidden="1"/>
  </cols>
  <sheetData>
    <row r="1" spans="1:14" x14ac:dyDescent="0.35">
      <c r="I1" s="66"/>
    </row>
    <row r="2" spans="1:14" x14ac:dyDescent="0.35">
      <c r="I2" s="69">
        <f>SUM(RENDIMENTOS!G:G)</f>
        <v>27006.3</v>
      </c>
      <c r="L2" s="93"/>
      <c r="M2" s="93"/>
    </row>
    <row r="3" spans="1:14" ht="19.5" x14ac:dyDescent="0.45">
      <c r="C3" s="6" t="s">
        <v>202</v>
      </c>
      <c r="D3" s="6"/>
      <c r="E3" s="6"/>
      <c r="F3" s="4"/>
      <c r="G3" s="4"/>
      <c r="I3" s="69">
        <f>SUM(PAGAMENTOS!G:G)</f>
        <v>7570</v>
      </c>
      <c r="L3" s="94"/>
      <c r="M3" s="93"/>
    </row>
    <row r="4" spans="1:14" x14ac:dyDescent="0.35">
      <c r="C4" s="38" t="s">
        <v>203</v>
      </c>
      <c r="D4" s="38"/>
      <c r="E4" s="38"/>
      <c r="I4" s="69">
        <f>SUM('BENS E DIREITOS'!H:H)</f>
        <v>249500</v>
      </c>
      <c r="L4" s="94"/>
      <c r="M4" s="93"/>
    </row>
    <row r="5" spans="1:14" x14ac:dyDescent="0.35">
      <c r="I5" s="69">
        <f>BANCOS!F7</f>
        <v>25971.35</v>
      </c>
      <c r="L5" s="93"/>
      <c r="M5" s="93"/>
    </row>
    <row r="6" spans="1:14" x14ac:dyDescent="0.35">
      <c r="I6" s="70" t="str">
        <f>COUNTIF(DOCUMENTOS!F14:F112,"SIM")&amp;" de "&amp;COUNTA(DOCUMENTOS!C14:C112)</f>
        <v>8 de 10</v>
      </c>
      <c r="L6" s="93"/>
      <c r="M6" s="93"/>
    </row>
    <row r="7" spans="1:14" x14ac:dyDescent="0.35">
      <c r="I7" s="70">
        <f>COUNTIF(BANCOS!D21:D47,"PENDENTE")+COUNTIF(BANCOS!D21:D47,"INCOMPLETO")+COUNTIF(RENDIMENTOS!I:I,"INCOMPLETO")+COUNTIF(PAGAMENTOS!I:I,"INCOMPLETO")+COUNTIF('BENS E DIREITOS'!I:I,"INCOMPLETO")+COUNTIF(DOCUMENTOS!H:H,"PENDENTE")+COUNTIF(DOCUMENTOS!H:H,"INCOMPLETO")</f>
        <v>6</v>
      </c>
      <c r="L7" s="93"/>
      <c r="M7" s="93"/>
    </row>
    <row r="8" spans="1:14" x14ac:dyDescent="0.35">
      <c r="L8" s="93"/>
      <c r="M8" s="93"/>
    </row>
    <row r="9" spans="1:14" x14ac:dyDescent="0.35">
      <c r="L9" s="93"/>
      <c r="M9" s="93"/>
    </row>
    <row r="10" spans="1:14" x14ac:dyDescent="0.35">
      <c r="I10" s="40"/>
      <c r="L10" s="93"/>
      <c r="M10" s="93"/>
    </row>
    <row r="11" spans="1:14" x14ac:dyDescent="0.35">
      <c r="I11" s="40" t="s">
        <v>64</v>
      </c>
      <c r="J11" s="67" t="s">
        <v>65</v>
      </c>
      <c r="L11" s="93"/>
      <c r="M11" s="93"/>
    </row>
    <row r="12" spans="1:14" s="73" customFormat="1" ht="22" customHeight="1" x14ac:dyDescent="0.35">
      <c r="A12" s="41"/>
      <c r="B12" s="5"/>
      <c r="C12" s="5"/>
      <c r="D12" s="5"/>
      <c r="E12" s="5"/>
      <c r="F12" s="5"/>
      <c r="G12" s="5"/>
      <c r="H12" s="5"/>
      <c r="I12" s="40" t="s">
        <v>180</v>
      </c>
      <c r="J12" s="71">
        <f>I2</f>
        <v>27006.3</v>
      </c>
      <c r="K12" s="72"/>
      <c r="L12" s="95"/>
      <c r="M12" s="95"/>
    </row>
    <row r="13" spans="1:14" x14ac:dyDescent="0.35">
      <c r="I13" s="40" t="s">
        <v>181</v>
      </c>
      <c r="J13" s="71">
        <f>I3</f>
        <v>7570</v>
      </c>
      <c r="L13" s="93"/>
      <c r="M13" s="93"/>
    </row>
    <row r="14" spans="1:14" x14ac:dyDescent="0.35">
      <c r="I14" s="40"/>
      <c r="L14" s="93"/>
      <c r="M14" s="93"/>
    </row>
    <row r="15" spans="1:14" x14ac:dyDescent="0.35">
      <c r="I15" s="67"/>
      <c r="M15" s="67"/>
      <c r="N15" s="67"/>
    </row>
    <row r="16" spans="1:14" x14ac:dyDescent="0.35">
      <c r="I16" s="67" t="s">
        <v>103</v>
      </c>
      <c r="J16" s="67" t="s">
        <v>204</v>
      </c>
      <c r="M16" s="67"/>
      <c r="N16" s="67"/>
    </row>
    <row r="17" spans="9:14" x14ac:dyDescent="0.35">
      <c r="I17" s="67" t="s">
        <v>205</v>
      </c>
      <c r="J17" s="67">
        <f>COUNTIF(DOCUMENTOS!F:F,"SIM")</f>
        <v>8</v>
      </c>
      <c r="M17" s="67"/>
      <c r="N17" s="67"/>
    </row>
    <row r="18" spans="9:14" x14ac:dyDescent="0.35">
      <c r="I18" s="67" t="s">
        <v>206</v>
      </c>
      <c r="J18" s="67">
        <f>COUNTIF(DOCUMENTOS!F:F,"NÃO")</f>
        <v>2</v>
      </c>
      <c r="M18" s="67"/>
      <c r="N18" s="67"/>
    </row>
    <row r="19" spans="9:14" x14ac:dyDescent="0.35">
      <c r="I19" s="67"/>
      <c r="M19" s="67"/>
      <c r="N19" s="67"/>
    </row>
    <row r="20" spans="9:14" ht="29" x14ac:dyDescent="0.35">
      <c r="I20" s="74" t="s">
        <v>207</v>
      </c>
      <c r="J20" s="74" t="s">
        <v>8</v>
      </c>
      <c r="K20" s="74" t="s">
        <v>208</v>
      </c>
      <c r="L20" s="74" t="s">
        <v>214</v>
      </c>
      <c r="M20" s="67"/>
      <c r="N20" s="67"/>
    </row>
    <row r="21" spans="9:14" x14ac:dyDescent="0.35">
      <c r="I21" s="75" t="s">
        <v>209</v>
      </c>
      <c r="J21" s="75">
        <v>3</v>
      </c>
      <c r="K21" s="75">
        <v>2</v>
      </c>
      <c r="L21" s="76">
        <f>IF(J21=0,0,(J21-K21)/J21)</f>
        <v>0.33333333333333331</v>
      </c>
      <c r="M21" s="77">
        <f>1-L21</f>
        <v>0.66666666666666674</v>
      </c>
      <c r="N21" s="67"/>
    </row>
    <row r="22" spans="9:14" ht="29" x14ac:dyDescent="0.35">
      <c r="I22" s="75" t="s">
        <v>210</v>
      </c>
      <c r="J22" s="75">
        <v>10</v>
      </c>
      <c r="K22" s="75">
        <v>1</v>
      </c>
      <c r="L22" s="76">
        <f>IF(J22=0,0,(J22-K22)/J22)</f>
        <v>0.9</v>
      </c>
      <c r="M22" s="77">
        <f>1-L22</f>
        <v>9.9999999999999978E-2</v>
      </c>
      <c r="N22" s="67"/>
    </row>
    <row r="23" spans="9:14" ht="29" x14ac:dyDescent="0.35">
      <c r="I23" s="75" t="s">
        <v>211</v>
      </c>
      <c r="J23" s="75">
        <v>10</v>
      </c>
      <c r="K23" s="75">
        <v>0</v>
      </c>
      <c r="L23" s="76">
        <f>IF(J23=0,0,(J23-K23)/J23)</f>
        <v>1</v>
      </c>
      <c r="M23" s="77">
        <f>1-L23</f>
        <v>0</v>
      </c>
      <c r="N23" s="67"/>
    </row>
    <row r="24" spans="9:14" ht="29" x14ac:dyDescent="0.35">
      <c r="I24" s="75" t="s">
        <v>212</v>
      </c>
      <c r="J24" s="75">
        <v>5</v>
      </c>
      <c r="K24" s="75">
        <v>1</v>
      </c>
      <c r="L24" s="76">
        <f>IF(J24=0,0,(J24-K24)/J24)</f>
        <v>0.8</v>
      </c>
      <c r="M24" s="77">
        <f>1-L24</f>
        <v>0.19999999999999996</v>
      </c>
      <c r="N24" s="67"/>
    </row>
    <row r="25" spans="9:14" ht="29" x14ac:dyDescent="0.35">
      <c r="I25" s="75" t="s">
        <v>213</v>
      </c>
      <c r="J25" s="75">
        <v>10</v>
      </c>
      <c r="K25" s="75">
        <v>2</v>
      </c>
      <c r="L25" s="76">
        <f>IF(J25=0,0,(J25-K25)/J25)</f>
        <v>0.8</v>
      </c>
      <c r="M25" s="77">
        <f>1-L25</f>
        <v>0.19999999999999996</v>
      </c>
      <c r="N25" s="67"/>
    </row>
    <row r="26" spans="9:14" x14ac:dyDescent="0.35">
      <c r="I26" s="67"/>
      <c r="M26" s="67"/>
      <c r="N26" s="67"/>
    </row>
    <row r="27" spans="9:14" x14ac:dyDescent="0.35">
      <c r="I27" s="67"/>
      <c r="M27" s="67"/>
      <c r="N27" s="67"/>
    </row>
    <row r="28" spans="9:14" x14ac:dyDescent="0.35">
      <c r="I28" s="67"/>
      <c r="M28" s="67"/>
      <c r="N28" s="67"/>
    </row>
    <row r="29" spans="9:14" x14ac:dyDescent="0.35">
      <c r="I29" s="67"/>
      <c r="M29" s="67"/>
      <c r="N29" s="67"/>
    </row>
    <row r="30" spans="9:14" x14ac:dyDescent="0.35">
      <c r="I30" s="67"/>
      <c r="M30" s="67"/>
      <c r="N30" s="67"/>
    </row>
    <row r="31" spans="9:14" x14ac:dyDescent="0.35">
      <c r="I31" s="67"/>
      <c r="M31" s="67"/>
      <c r="N31" s="67"/>
    </row>
    <row r="32" spans="9:14" x14ac:dyDescent="0.35">
      <c r="I32" s="67"/>
      <c r="M32" s="67"/>
      <c r="N32" s="67"/>
    </row>
    <row r="33" spans="9:14" x14ac:dyDescent="0.35">
      <c r="I33" s="67"/>
      <c r="M33" s="67"/>
      <c r="N33" s="67"/>
    </row>
    <row r="34" spans="9:14" x14ac:dyDescent="0.35">
      <c r="I34" s="67"/>
      <c r="M34" s="67"/>
      <c r="N34" s="67"/>
    </row>
    <row r="35" spans="9:14" x14ac:dyDescent="0.35">
      <c r="I35" s="67"/>
      <c r="M35" s="67"/>
      <c r="N35" s="67"/>
    </row>
    <row r="36" spans="9:14" x14ac:dyDescent="0.35">
      <c r="I36" s="67"/>
      <c r="M36" s="67"/>
      <c r="N36" s="67"/>
    </row>
    <row r="37" spans="9:14" x14ac:dyDescent="0.35">
      <c r="I37" s="67"/>
      <c r="M37" s="67"/>
      <c r="N37" s="67"/>
    </row>
    <row r="38" spans="9:14" x14ac:dyDescent="0.35">
      <c r="I38" s="67"/>
      <c r="M38" s="67"/>
      <c r="N38" s="67"/>
    </row>
    <row r="39" spans="9:14" x14ac:dyDescent="0.35">
      <c r="I39" s="67"/>
      <c r="M39" s="67"/>
      <c r="N39" s="67"/>
    </row>
    <row r="40" spans="9:14" x14ac:dyDescent="0.35">
      <c r="I40" s="67"/>
      <c r="M40" s="67"/>
      <c r="N40" s="67"/>
    </row>
    <row r="41" spans="9:14" x14ac:dyDescent="0.35">
      <c r="I41" s="67"/>
      <c r="M41" s="67"/>
      <c r="N41" s="67"/>
    </row>
    <row r="42" spans="9:14" x14ac:dyDescent="0.35">
      <c r="I42" s="67"/>
      <c r="M42" s="67"/>
      <c r="N42" s="67"/>
    </row>
    <row r="43" spans="9:14" x14ac:dyDescent="0.35">
      <c r="I43" s="67"/>
      <c r="M43" s="67"/>
      <c r="N43" s="67"/>
    </row>
    <row r="44" spans="9:14" x14ac:dyDescent="0.35">
      <c r="I44" s="67"/>
      <c r="M44" s="67"/>
      <c r="N44" s="67"/>
    </row>
    <row r="45" spans="9:14" x14ac:dyDescent="0.35">
      <c r="I45" s="67"/>
      <c r="M45" s="67"/>
      <c r="N45" s="67"/>
    </row>
    <row r="46" spans="9:14" x14ac:dyDescent="0.35">
      <c r="I46" s="67"/>
      <c r="M46" s="67"/>
      <c r="N46" s="67"/>
    </row>
    <row r="47" spans="9:14" x14ac:dyDescent="0.35">
      <c r="I47" s="67"/>
      <c r="M47" s="67"/>
      <c r="N47" s="67"/>
    </row>
    <row r="48" spans="9:14" x14ac:dyDescent="0.35"/>
    <row r="49" x14ac:dyDescent="0.35"/>
    <row r="50" x14ac:dyDescent="0.35"/>
    <row r="51" x14ac:dyDescent="0.35"/>
    <row r="52" x14ac:dyDescent="0.35"/>
    <row r="53" x14ac:dyDescent="0.35"/>
    <row r="54" x14ac:dyDescent="0.35"/>
  </sheetData>
  <sheetProtection sheet="1"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41554-A370-46DD-A9A9-42EFA6CCBA56}">
  <dimension ref="A3:H57"/>
  <sheetViews>
    <sheetView showGridLines="0" showRowColHeaders="0" zoomScale="60" zoomScaleNormal="60" workbookViewId="0">
      <selection activeCell="A63" sqref="A6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5" x14ac:dyDescent="0.35"/>
  <cols>
    <col min="1" max="1" width="29.90625" style="4" customWidth="1"/>
    <col min="2" max="2" width="8.7265625" style="5" customWidth="1"/>
    <col min="3" max="3" width="30.08984375" style="5" customWidth="1"/>
    <col min="4" max="4" width="15.7265625" style="5" customWidth="1"/>
    <col min="5" max="5" width="16.54296875" style="5" customWidth="1"/>
    <col min="6" max="6" width="13.6328125" style="5" customWidth="1"/>
    <col min="7" max="7" width="11.36328125" style="5" customWidth="1"/>
    <col min="8" max="8" width="17.1796875" style="5" customWidth="1"/>
    <col min="9" max="9" width="5.7265625" style="5" customWidth="1"/>
    <col min="10" max="16384" width="8.7265625" style="5" hidden="1"/>
  </cols>
  <sheetData>
    <row r="3" spans="3:8" ht="19.5" x14ac:dyDescent="0.45">
      <c r="C3" s="6" t="s">
        <v>235</v>
      </c>
      <c r="D3" s="6"/>
      <c r="E3" s="6"/>
      <c r="F3" s="4"/>
      <c r="G3" s="4"/>
    </row>
    <row r="4" spans="3:8" x14ac:dyDescent="0.35">
      <c r="C4" s="38" t="s">
        <v>234</v>
      </c>
    </row>
    <row r="7" spans="3:8" ht="32" x14ac:dyDescent="0.35">
      <c r="C7" s="78" t="s">
        <v>209</v>
      </c>
      <c r="D7" s="78" t="s">
        <v>233</v>
      </c>
      <c r="E7" s="78" t="s">
        <v>232</v>
      </c>
      <c r="F7" s="78" t="s">
        <v>231</v>
      </c>
      <c r="G7" s="78" t="s">
        <v>230</v>
      </c>
      <c r="H7" s="78" t="s">
        <v>229</v>
      </c>
    </row>
    <row r="8" spans="3:8" ht="29" x14ac:dyDescent="0.35">
      <c r="C8" s="79" t="s">
        <v>14</v>
      </c>
      <c r="D8" s="79" t="s">
        <v>108</v>
      </c>
      <c r="E8" s="79" t="s">
        <v>122</v>
      </c>
      <c r="F8" s="79" t="s">
        <v>140</v>
      </c>
      <c r="G8" s="79" t="s">
        <v>162</v>
      </c>
      <c r="H8" s="79" t="s">
        <v>178</v>
      </c>
    </row>
    <row r="9" spans="3:8" x14ac:dyDescent="0.35">
      <c r="C9" s="79" t="s">
        <v>15</v>
      </c>
      <c r="D9" s="79" t="s">
        <v>107</v>
      </c>
      <c r="E9" s="79" t="s">
        <v>228</v>
      </c>
      <c r="F9" s="79" t="s">
        <v>138</v>
      </c>
      <c r="G9" s="79" t="s">
        <v>165</v>
      </c>
      <c r="H9" s="79" t="s">
        <v>179</v>
      </c>
    </row>
    <row r="10" spans="3:8" ht="29" x14ac:dyDescent="0.35">
      <c r="C10" s="79" t="s">
        <v>16</v>
      </c>
      <c r="D10" s="79" t="s">
        <v>227</v>
      </c>
      <c r="E10" s="79" t="s">
        <v>226</v>
      </c>
      <c r="F10" s="79" t="s">
        <v>143</v>
      </c>
      <c r="G10" s="79" t="s">
        <v>225</v>
      </c>
      <c r="H10" s="79" t="s">
        <v>180</v>
      </c>
    </row>
    <row r="11" spans="3:8" ht="29" x14ac:dyDescent="0.35">
      <c r="C11" s="79" t="s">
        <v>17</v>
      </c>
      <c r="D11" s="79" t="s">
        <v>224</v>
      </c>
      <c r="E11" s="79" t="s">
        <v>124</v>
      </c>
      <c r="F11" s="79" t="s">
        <v>147</v>
      </c>
      <c r="G11" s="79" t="s">
        <v>167</v>
      </c>
      <c r="H11" s="79" t="s">
        <v>181</v>
      </c>
    </row>
    <row r="12" spans="3:8" ht="29" x14ac:dyDescent="0.35">
      <c r="C12" s="79" t="s">
        <v>18</v>
      </c>
      <c r="D12" s="79" t="s">
        <v>223</v>
      </c>
      <c r="E12" s="79" t="s">
        <v>126</v>
      </c>
      <c r="F12" s="79" t="s">
        <v>149</v>
      </c>
      <c r="G12" s="79" t="s">
        <v>169</v>
      </c>
      <c r="H12" s="79" t="s">
        <v>183</v>
      </c>
    </row>
    <row r="13" spans="3:8" x14ac:dyDescent="0.35">
      <c r="C13" s="79" t="s">
        <v>19</v>
      </c>
      <c r="D13" s="79" t="s">
        <v>222</v>
      </c>
      <c r="E13" s="79" t="s">
        <v>221</v>
      </c>
      <c r="F13" s="79" t="s">
        <v>151</v>
      </c>
      <c r="G13" s="79" t="s">
        <v>220</v>
      </c>
      <c r="H13" s="79" t="s">
        <v>185</v>
      </c>
    </row>
    <row r="14" spans="3:8" ht="29" x14ac:dyDescent="0.35">
      <c r="C14" s="79" t="s">
        <v>20</v>
      </c>
      <c r="D14" s="79" t="s">
        <v>219</v>
      </c>
      <c r="E14" s="79" t="s">
        <v>130</v>
      </c>
      <c r="F14" s="79" t="s">
        <v>145</v>
      </c>
      <c r="G14" s="79" t="s">
        <v>171</v>
      </c>
      <c r="H14" s="79" t="s">
        <v>215</v>
      </c>
    </row>
    <row r="15" spans="3:8" ht="29" x14ac:dyDescent="0.35">
      <c r="C15" s="79" t="s">
        <v>21</v>
      </c>
      <c r="D15" s="79" t="s">
        <v>218</v>
      </c>
      <c r="E15" s="79" t="s">
        <v>128</v>
      </c>
      <c r="F15" s="79" t="s">
        <v>153</v>
      </c>
      <c r="G15" s="79"/>
      <c r="H15" s="79"/>
    </row>
    <row r="16" spans="3:8" ht="29" x14ac:dyDescent="0.35">
      <c r="C16" s="79" t="s">
        <v>22</v>
      </c>
      <c r="D16" s="79" t="s">
        <v>215</v>
      </c>
      <c r="E16" s="79" t="s">
        <v>217</v>
      </c>
      <c r="F16" s="79" t="s">
        <v>216</v>
      </c>
      <c r="G16" s="79"/>
      <c r="H16" s="79"/>
    </row>
    <row r="17" spans="3:8" ht="29" x14ac:dyDescent="0.35">
      <c r="C17" s="79" t="s">
        <v>23</v>
      </c>
      <c r="D17" s="79"/>
      <c r="E17" s="79" t="s">
        <v>129</v>
      </c>
      <c r="F17" s="79" t="s">
        <v>215</v>
      </c>
      <c r="G17" s="79"/>
      <c r="H17" s="79"/>
    </row>
    <row r="18" spans="3:8" x14ac:dyDescent="0.35">
      <c r="C18" s="79" t="s">
        <v>24</v>
      </c>
      <c r="D18" s="79"/>
      <c r="E18" s="79" t="s">
        <v>215</v>
      </c>
      <c r="F18" s="79"/>
      <c r="G18" s="79"/>
      <c r="H18" s="79"/>
    </row>
    <row r="19" spans="3:8" x14ac:dyDescent="0.35">
      <c r="C19" s="79" t="s">
        <v>25</v>
      </c>
      <c r="D19" s="79"/>
      <c r="E19" s="79"/>
      <c r="F19" s="79"/>
      <c r="G19" s="79"/>
      <c r="H19" s="79"/>
    </row>
    <row r="20" spans="3:8" x14ac:dyDescent="0.35">
      <c r="C20" s="79" t="s">
        <v>26</v>
      </c>
      <c r="D20" s="79"/>
      <c r="E20" s="79"/>
      <c r="F20" s="79"/>
      <c r="G20" s="79"/>
      <c r="H20" s="79"/>
    </row>
    <row r="21" spans="3:8" ht="29" x14ac:dyDescent="0.35">
      <c r="C21" s="79" t="s">
        <v>27</v>
      </c>
      <c r="D21" s="79"/>
      <c r="E21" s="79"/>
      <c r="F21" s="79"/>
      <c r="G21" s="79"/>
      <c r="H21" s="79"/>
    </row>
    <row r="22" spans="3:8" x14ac:dyDescent="0.35">
      <c r="C22" s="79" t="s">
        <v>28</v>
      </c>
      <c r="D22" s="79"/>
      <c r="E22" s="79"/>
      <c r="F22" s="79"/>
      <c r="G22" s="79"/>
      <c r="H22" s="79"/>
    </row>
    <row r="23" spans="3:8" ht="29" x14ac:dyDescent="0.35">
      <c r="C23" s="79" t="s">
        <v>29</v>
      </c>
      <c r="D23" s="79"/>
      <c r="E23" s="79"/>
      <c r="F23" s="79"/>
      <c r="G23" s="79"/>
      <c r="H23" s="79"/>
    </row>
    <row r="24" spans="3:8" x14ac:dyDescent="0.35">
      <c r="C24" s="79" t="s">
        <v>30</v>
      </c>
      <c r="D24" s="79"/>
      <c r="E24" s="79"/>
      <c r="F24" s="79"/>
      <c r="G24" s="79"/>
      <c r="H24" s="79"/>
    </row>
    <row r="25" spans="3:8" x14ac:dyDescent="0.35">
      <c r="C25" s="79" t="s">
        <v>31</v>
      </c>
      <c r="D25" s="79"/>
      <c r="E25" s="79"/>
      <c r="F25" s="79"/>
      <c r="G25" s="79"/>
      <c r="H25" s="79"/>
    </row>
    <row r="26" spans="3:8" x14ac:dyDescent="0.35">
      <c r="C26" s="79" t="s">
        <v>13</v>
      </c>
      <c r="D26" s="79"/>
      <c r="E26" s="79"/>
      <c r="F26" s="79"/>
      <c r="G26" s="79"/>
      <c r="H26" s="79"/>
    </row>
    <row r="27" spans="3:8" x14ac:dyDescent="0.35">
      <c r="C27" s="79" t="s">
        <v>11</v>
      </c>
      <c r="D27" s="79"/>
      <c r="E27" s="79"/>
      <c r="F27" s="79"/>
      <c r="G27" s="79"/>
      <c r="H27" s="79"/>
    </row>
    <row r="28" spans="3:8" x14ac:dyDescent="0.35">
      <c r="C28" s="79" t="s">
        <v>32</v>
      </c>
      <c r="D28" s="79"/>
      <c r="E28" s="79"/>
      <c r="F28" s="79"/>
      <c r="G28" s="79"/>
      <c r="H28" s="79"/>
    </row>
    <row r="29" spans="3:8" x14ac:dyDescent="0.35">
      <c r="C29" s="79" t="s">
        <v>33</v>
      </c>
      <c r="D29" s="79"/>
      <c r="E29" s="79"/>
      <c r="F29" s="79"/>
      <c r="G29" s="79"/>
      <c r="H29" s="79"/>
    </row>
    <row r="30" spans="3:8" x14ac:dyDescent="0.35">
      <c r="C30" s="79" t="s">
        <v>34</v>
      </c>
      <c r="D30" s="79"/>
      <c r="E30" s="79"/>
      <c r="F30" s="79"/>
      <c r="G30" s="79"/>
      <c r="H30" s="79"/>
    </row>
    <row r="31" spans="3:8" x14ac:dyDescent="0.35">
      <c r="C31" s="79" t="s">
        <v>35</v>
      </c>
      <c r="D31" s="79"/>
      <c r="E31" s="79"/>
      <c r="F31" s="79"/>
      <c r="G31" s="79"/>
      <c r="H31" s="79"/>
    </row>
    <row r="32" spans="3:8" x14ac:dyDescent="0.35">
      <c r="C32" s="79" t="s">
        <v>36</v>
      </c>
      <c r="D32" s="79"/>
      <c r="E32" s="79"/>
      <c r="F32" s="79"/>
      <c r="G32" s="79"/>
      <c r="H32" s="79"/>
    </row>
    <row r="33" spans="3:8" ht="29" x14ac:dyDescent="0.35">
      <c r="C33" s="79" t="s">
        <v>37</v>
      </c>
      <c r="D33" s="79"/>
      <c r="E33" s="79"/>
      <c r="F33" s="79"/>
      <c r="G33" s="79"/>
      <c r="H33" s="79"/>
    </row>
    <row r="34" spans="3:8" ht="19.5" x14ac:dyDescent="0.35">
      <c r="C34" s="79" t="s">
        <v>38</v>
      </c>
      <c r="D34" s="79"/>
      <c r="E34" s="80"/>
      <c r="F34" s="79"/>
      <c r="G34" s="79"/>
      <c r="H34" s="79"/>
    </row>
    <row r="35" spans="3:8" x14ac:dyDescent="0.35">
      <c r="C35" s="79" t="s">
        <v>39</v>
      </c>
      <c r="D35" s="79"/>
      <c r="E35" s="79"/>
      <c r="F35" s="79"/>
      <c r="G35" s="79"/>
      <c r="H35" s="79"/>
    </row>
    <row r="36" spans="3:8" ht="29" x14ac:dyDescent="0.35">
      <c r="C36" s="79" t="s">
        <v>40</v>
      </c>
      <c r="D36" s="79"/>
      <c r="E36" s="79"/>
      <c r="F36" s="79"/>
      <c r="G36" s="79"/>
      <c r="H36" s="79"/>
    </row>
    <row r="37" spans="3:8" x14ac:dyDescent="0.35">
      <c r="C37" s="79" t="s">
        <v>41</v>
      </c>
      <c r="D37" s="79"/>
      <c r="E37" s="79"/>
      <c r="F37" s="79"/>
      <c r="G37" s="79"/>
      <c r="H37" s="79"/>
    </row>
    <row r="38" spans="3:8" x14ac:dyDescent="0.35">
      <c r="C38" s="79" t="s">
        <v>42</v>
      </c>
      <c r="D38" s="79"/>
      <c r="E38" s="79"/>
      <c r="F38" s="79"/>
      <c r="G38" s="79"/>
      <c r="H38" s="79"/>
    </row>
    <row r="39" spans="3:8" x14ac:dyDescent="0.35">
      <c r="C39" s="79" t="s">
        <v>43</v>
      </c>
      <c r="D39" s="79"/>
      <c r="E39" s="79"/>
      <c r="F39" s="79"/>
      <c r="G39" s="79"/>
      <c r="H39" s="79"/>
    </row>
    <row r="40" spans="3:8" x14ac:dyDescent="0.35">
      <c r="C40" s="79" t="s">
        <v>44</v>
      </c>
      <c r="D40" s="79"/>
      <c r="E40" s="79"/>
      <c r="F40" s="79"/>
      <c r="G40" s="79"/>
      <c r="H40" s="79"/>
    </row>
    <row r="41" spans="3:8" x14ac:dyDescent="0.35">
      <c r="C41" s="79" t="s">
        <v>45</v>
      </c>
      <c r="D41" s="79"/>
      <c r="E41" s="79"/>
      <c r="F41" s="79"/>
      <c r="G41" s="79"/>
      <c r="H41" s="79"/>
    </row>
    <row r="42" spans="3:8" x14ac:dyDescent="0.35">
      <c r="C42" s="79" t="s">
        <v>46</v>
      </c>
      <c r="D42" s="79"/>
      <c r="E42" s="79"/>
      <c r="F42" s="79"/>
      <c r="G42" s="79"/>
      <c r="H42" s="79"/>
    </row>
    <row r="43" spans="3:8" x14ac:dyDescent="0.35">
      <c r="C43" s="79" t="s">
        <v>47</v>
      </c>
      <c r="D43" s="79"/>
      <c r="E43" s="79"/>
      <c r="F43" s="79"/>
      <c r="G43" s="79"/>
      <c r="H43" s="79"/>
    </row>
    <row r="44" spans="3:8" x14ac:dyDescent="0.35">
      <c r="C44" s="79" t="s">
        <v>48</v>
      </c>
      <c r="D44" s="79"/>
      <c r="E44" s="79"/>
      <c r="F44" s="79"/>
      <c r="G44" s="79"/>
      <c r="H44" s="79"/>
    </row>
    <row r="45" spans="3:8" x14ac:dyDescent="0.35">
      <c r="C45" s="79" t="s">
        <v>49</v>
      </c>
      <c r="D45" s="79"/>
      <c r="E45" s="79"/>
      <c r="F45" s="79"/>
      <c r="G45" s="79"/>
      <c r="H45" s="79"/>
    </row>
    <row r="46" spans="3:8" x14ac:dyDescent="0.35">
      <c r="C46" s="79" t="s">
        <v>50</v>
      </c>
      <c r="D46" s="79"/>
      <c r="E46" s="79"/>
      <c r="F46" s="79"/>
      <c r="G46" s="79"/>
      <c r="H46" s="79"/>
    </row>
    <row r="47" spans="3:8" x14ac:dyDescent="0.35">
      <c r="C47" s="79" t="s">
        <v>51</v>
      </c>
      <c r="D47" s="79"/>
      <c r="E47" s="79"/>
      <c r="F47" s="79"/>
      <c r="G47" s="79"/>
      <c r="H47" s="79"/>
    </row>
    <row r="48" spans="3:8" x14ac:dyDescent="0.35">
      <c r="C48" s="79" t="s">
        <v>52</v>
      </c>
      <c r="D48" s="79"/>
      <c r="E48" s="79"/>
      <c r="F48" s="79"/>
      <c r="G48" s="79"/>
      <c r="H48" s="79"/>
    </row>
    <row r="49" spans="3:8" x14ac:dyDescent="0.35">
      <c r="C49" s="79" t="s">
        <v>53</v>
      </c>
      <c r="D49" s="79"/>
      <c r="E49" s="79"/>
      <c r="F49" s="79"/>
      <c r="G49" s="79"/>
      <c r="H49" s="79"/>
    </row>
    <row r="50" spans="3:8" x14ac:dyDescent="0.35">
      <c r="C50" s="79" t="s">
        <v>54</v>
      </c>
      <c r="D50" s="79"/>
      <c r="E50" s="79"/>
      <c r="F50" s="79"/>
      <c r="G50" s="79"/>
      <c r="H50" s="79"/>
    </row>
    <row r="51" spans="3:8" x14ac:dyDescent="0.35">
      <c r="C51" s="79" t="s">
        <v>55</v>
      </c>
      <c r="D51" s="79"/>
      <c r="E51" s="79"/>
      <c r="F51" s="79"/>
      <c r="G51" s="79"/>
      <c r="H51" s="79"/>
    </row>
    <row r="52" spans="3:8" x14ac:dyDescent="0.35">
      <c r="C52" s="79" t="s">
        <v>56</v>
      </c>
      <c r="D52" s="79"/>
      <c r="E52" s="79"/>
      <c r="F52" s="79"/>
      <c r="G52" s="79"/>
      <c r="H52" s="79"/>
    </row>
    <row r="53" spans="3:8" ht="29" x14ac:dyDescent="0.35">
      <c r="C53" s="79" t="s">
        <v>57</v>
      </c>
      <c r="D53" s="79"/>
      <c r="E53" s="79"/>
      <c r="F53" s="79"/>
      <c r="G53" s="79"/>
      <c r="H53" s="79"/>
    </row>
    <row r="54" spans="3:8" x14ac:dyDescent="0.35">
      <c r="C54" s="79" t="s">
        <v>58</v>
      </c>
      <c r="D54" s="79"/>
      <c r="E54" s="79"/>
      <c r="F54" s="79"/>
      <c r="G54" s="79"/>
      <c r="H54" s="79"/>
    </row>
    <row r="55" spans="3:8" x14ac:dyDescent="0.35">
      <c r="C55" s="79" t="s">
        <v>59</v>
      </c>
      <c r="D55" s="79"/>
      <c r="E55" s="79"/>
      <c r="F55" s="79"/>
      <c r="G55" s="79"/>
      <c r="H55" s="79"/>
    </row>
    <row r="56" spans="3:8" x14ac:dyDescent="0.35">
      <c r="C56" s="79" t="s">
        <v>60</v>
      </c>
      <c r="D56" s="79"/>
      <c r="E56" s="79"/>
      <c r="F56" s="79"/>
      <c r="G56" s="79"/>
      <c r="H56" s="79"/>
    </row>
    <row r="57" spans="3:8" x14ac:dyDescent="0.35">
      <c r="C57" s="79" t="s">
        <v>61</v>
      </c>
      <c r="D57" s="79"/>
      <c r="E57" s="79"/>
      <c r="F57" s="79"/>
      <c r="G57" s="79"/>
      <c r="H57" s="79"/>
    </row>
  </sheetData>
  <sheetProtection sheet="1" objects="1" scenario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6</vt:i4>
      </vt:variant>
    </vt:vector>
  </HeadingPairs>
  <TitlesOfParts>
    <vt:vector size="15" baseType="lpstr">
      <vt:lpstr>INÍCIO</vt:lpstr>
      <vt:lpstr>TITULAR</vt:lpstr>
      <vt:lpstr>BANCOS</vt:lpstr>
      <vt:lpstr>RENDIMENTOS</vt:lpstr>
      <vt:lpstr>PAGAMENTOS</vt:lpstr>
      <vt:lpstr>BENS E DIREITOS</vt:lpstr>
      <vt:lpstr>DOCUMENTOS</vt:lpstr>
      <vt:lpstr>RESUMO</vt:lpstr>
      <vt:lpstr>TABELA</vt:lpstr>
      <vt:lpstr>ListaBancos</vt:lpstr>
      <vt:lpstr>ListaBens</vt:lpstr>
      <vt:lpstr>ListaContas</vt:lpstr>
      <vt:lpstr>ListaDespesas</vt:lpstr>
      <vt:lpstr>ListaDocumentos</vt:lpstr>
      <vt:lpstr>ListaRendimentos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Ribeiro</dc:creator>
  <cp:lastModifiedBy>Camila Ribeiro</cp:lastModifiedBy>
  <dcterms:created xsi:type="dcterms:W3CDTF">2026-10-15T17:03:06Z</dcterms:created>
  <dcterms:modified xsi:type="dcterms:W3CDTF">2026-10-18T00:54:49Z</dcterms:modified>
</cp:coreProperties>
</file>